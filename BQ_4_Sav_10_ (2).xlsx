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codeName="ThisWorkbook" defaultThemeVersion="166925"/>
  <mc:AlternateContent xmlns:mc="http://schemas.openxmlformats.org/markup-compatibility/2006">
    <mc:Choice Requires="x15">
      <x15ac:absPath xmlns:x15ac="http://schemas.microsoft.com/office/spreadsheetml/2010/11/ac" url="X:\CLIENT-AFM\TABLEAUX DE BORD\BQ\2025\MODELES BQ\"/>
    </mc:Choice>
  </mc:AlternateContent>
  <xr:revisionPtr revIDLastSave="0" documentId="13_ncr:1_{8C4D0674-6E46-4252-9794-72C3615AA91B}" xr6:coauthVersionLast="47" xr6:coauthVersionMax="47" xr10:uidLastSave="{00000000-0000-0000-0000-000000000000}"/>
  <bookViews>
    <workbookView xWindow="-28920" yWindow="-120" windowWidth="29040" windowHeight="15720" xr2:uid="{1E1B1B08-A035-4E19-8065-B954AAD5EA46}"/>
  </bookViews>
  <sheets>
    <sheet name="SAV" sheetId="1" r:id="rId1"/>
    <sheet name="Référentiel" sheetId="3" r:id="rId2"/>
    <sheet name="Lexique et Notation" sheetId="4" r:id="rId3"/>
    <sheet name="Glossary and  notation EN" sheetId="5" r:id="rId4"/>
    <sheet name="Glossar und Bwertung DE" sheetId="6" r:id="rId5"/>
    <sheet name="Sheet2" sheetId="2" state="hidden" r:id="rId6"/>
  </sheets>
  <definedNames>
    <definedName name="CodeLang">SAV!$B$3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Z24" i="1" l="1"/>
  <c r="AQ23" i="1" l="1"/>
  <c r="AO23" i="1"/>
  <c r="AM23" i="1"/>
  <c r="AK23" i="1"/>
  <c r="AI23" i="1"/>
  <c r="AG23" i="1"/>
  <c r="AE23" i="1"/>
  <c r="AC23" i="1"/>
  <c r="AA23" i="1"/>
  <c r="Y23" i="1"/>
  <c r="W23" i="1"/>
  <c r="U23" i="1"/>
  <c r="S23" i="1"/>
  <c r="Q23" i="1"/>
  <c r="O23" i="1"/>
  <c r="M23" i="1"/>
  <c r="BE3" i="1" l="1"/>
  <c r="BA6" i="1" l="1"/>
  <c r="BA5" i="1"/>
  <c r="BA4" i="1"/>
  <c r="BA3" i="1"/>
  <c r="H21" i="1"/>
  <c r="P22" i="1"/>
  <c r="M34" i="1" l="1"/>
  <c r="M35" i="1" l="1"/>
  <c r="AP34" i="1"/>
  <c r="AP35" i="1" s="1"/>
  <c r="BB6" i="1" s="1"/>
  <c r="AQ34" i="1"/>
  <c r="AQ35" i="1" s="1"/>
  <c r="BC6" i="1" s="1"/>
  <c r="AP22" i="1"/>
  <c r="AN22" i="1"/>
  <c r="AL22" i="1"/>
  <c r="AJ22" i="1"/>
  <c r="AH22" i="1"/>
  <c r="AF22" i="1"/>
  <c r="AD22" i="1"/>
  <c r="AB22" i="1"/>
  <c r="Z22" i="1"/>
  <c r="X22" i="1"/>
  <c r="V22" i="1"/>
  <c r="T22" i="1"/>
  <c r="R22" i="1"/>
  <c r="N22" i="1"/>
  <c r="L22" i="1"/>
  <c r="AP21" i="1"/>
  <c r="AL21" i="1"/>
  <c r="AB21" i="1"/>
  <c r="AP23" i="1"/>
  <c r="AN23" i="1"/>
  <c r="AL23" i="1"/>
  <c r="L21" i="1"/>
  <c r="K21" i="1"/>
  <c r="J21" i="1"/>
  <c r="AN34" i="1" l="1"/>
  <c r="AN35" i="1" s="1"/>
  <c r="AO34" i="1"/>
  <c r="AO35" i="1" s="1"/>
  <c r="AM34" i="1" l="1"/>
  <c r="AM35" i="1" s="1"/>
  <c r="BC5" i="1" s="1"/>
  <c r="AL34" i="1"/>
  <c r="AL35" i="1" s="1"/>
  <c r="BB5" i="1" s="1"/>
  <c r="B2" i="1" l="1"/>
  <c r="C5" i="1"/>
  <c r="Z23" i="1" l="1"/>
  <c r="B35" i="1"/>
  <c r="B34" i="1"/>
  <c r="C37" i="1"/>
  <c r="AZ21" i="1"/>
  <c r="AZ23" i="1"/>
  <c r="AJ23" i="1"/>
  <c r="AH23" i="1"/>
  <c r="AF23" i="1"/>
  <c r="AD23" i="1"/>
  <c r="AB23" i="1"/>
  <c r="X23" i="1"/>
  <c r="V23" i="1"/>
  <c r="T23" i="1"/>
  <c r="R23" i="1"/>
  <c r="P23" i="1"/>
  <c r="N23" i="1"/>
  <c r="L23" i="1"/>
  <c r="BD4" i="1"/>
  <c r="BA21" i="1" l="1"/>
  <c r="I21" i="1"/>
  <c r="G21" i="1"/>
  <c r="F21" i="1"/>
  <c r="E21" i="1"/>
  <c r="D21" i="1"/>
  <c r="C21" i="1"/>
  <c r="B21" i="1"/>
  <c r="C10" i="1"/>
  <c r="BD7" i="1"/>
  <c r="C11" i="1"/>
  <c r="BD3" i="1"/>
  <c r="C4" i="1"/>
  <c r="C3" i="1"/>
  <c r="C12" i="1"/>
  <c r="C9" i="1"/>
  <c r="C8" i="1"/>
  <c r="C7" i="1"/>
  <c r="C6" i="1"/>
  <c r="D2" i="1"/>
  <c r="C2" i="1" l="1"/>
  <c r="U34" i="1" l="1"/>
  <c r="U35" i="1" s="1"/>
  <c r="S34" i="1" l="1"/>
  <c r="R34" i="1"/>
  <c r="R35" i="1" s="1"/>
  <c r="S35" i="1" l="1"/>
  <c r="AZ25" i="1"/>
  <c r="AZ26" i="1"/>
  <c r="AZ27" i="1"/>
  <c r="AZ28" i="1"/>
  <c r="AZ29" i="1"/>
  <c r="AZ30" i="1"/>
  <c r="AZ31" i="1"/>
  <c r="AZ32" i="1"/>
  <c r="AZ33" i="1"/>
  <c r="AK34" i="1" l="1"/>
  <c r="AK35" i="1" s="1"/>
  <c r="AJ34" i="1"/>
  <c r="AJ35" i="1" s="1"/>
  <c r="Y34" i="1"/>
  <c r="X34" i="1"/>
  <c r="X35" i="1" s="1"/>
  <c r="W34" i="1"/>
  <c r="V34" i="1"/>
  <c r="V35" i="1" s="1"/>
  <c r="AC34" i="1"/>
  <c r="AB34" i="1"/>
  <c r="AB35" i="1" s="1"/>
  <c r="AG34" i="1"/>
  <c r="AF34" i="1"/>
  <c r="AC35" i="1" l="1"/>
  <c r="W35" i="1"/>
  <c r="AG35" i="1"/>
  <c r="Y35" i="1"/>
  <c r="AF35" i="1"/>
  <c r="O34" i="1"/>
  <c r="N34" i="1"/>
  <c r="N35" i="1" s="1"/>
  <c r="O35" i="1" l="1"/>
  <c r="BE7" i="1"/>
  <c r="AH34" i="1"/>
  <c r="AI34" i="1"/>
  <c r="T34" i="1"/>
  <c r="Z34" i="1"/>
  <c r="Z35" i="1" s="1"/>
  <c r="AA34" i="1"/>
  <c r="AD34" i="1"/>
  <c r="AD35" i="1" s="1"/>
  <c r="AE34" i="1"/>
  <c r="Q34" i="1"/>
  <c r="P34" i="1"/>
  <c r="P35" i="1" s="1"/>
  <c r="L34" i="1"/>
  <c r="AA35" i="1" l="1"/>
  <c r="AI35" i="1"/>
  <c r="Q35" i="1"/>
  <c r="AE35" i="1"/>
  <c r="AH35" i="1"/>
  <c r="BB4" i="1" s="1"/>
  <c r="T35" i="1"/>
  <c r="L35" i="1"/>
  <c r="AZ34" i="1"/>
  <c r="AZ35" i="1" s="1"/>
  <c r="BC4" i="1" l="1"/>
  <c r="BC3" i="1"/>
  <c r="BB3" i="1"/>
  <c r="BE4" i="1"/>
</calcChain>
</file>

<file path=xl/sharedStrings.xml><?xml version="1.0" encoding="utf-8"?>
<sst xmlns="http://schemas.openxmlformats.org/spreadsheetml/2006/main" count="749" uniqueCount="415">
  <si>
    <t>pays</t>
  </si>
  <si>
    <t>langue</t>
  </si>
  <si>
    <t>prestataire</t>
  </si>
  <si>
    <t>Nombre de suivis</t>
  </si>
  <si>
    <t>objectif</t>
  </si>
  <si>
    <t>n° d'appel</t>
  </si>
  <si>
    <t>agent</t>
  </si>
  <si>
    <t>n° tel</t>
  </si>
  <si>
    <t>nom du contrôle</t>
  </si>
  <si>
    <t>Note sur 100</t>
  </si>
  <si>
    <t>commentaire</t>
  </si>
  <si>
    <t>type de cde</t>
  </si>
  <si>
    <t>note</t>
  </si>
  <si>
    <t>barème</t>
  </si>
  <si>
    <t>note totale</t>
  </si>
  <si>
    <t>Prise de congés</t>
  </si>
  <si>
    <t>date contrôle</t>
  </si>
  <si>
    <t>Demande client</t>
  </si>
  <si>
    <t>identifiant</t>
  </si>
  <si>
    <t>évaluateur</t>
  </si>
  <si>
    <t>date de traitement</t>
  </si>
  <si>
    <t>x</t>
  </si>
  <si>
    <t>FR</t>
  </si>
  <si>
    <t>GB</t>
  </si>
  <si>
    <t>DE</t>
  </si>
  <si>
    <t>control name</t>
  </si>
  <si>
    <t>Kontrollname</t>
  </si>
  <si>
    <t>Langue</t>
  </si>
  <si>
    <t>1FR</t>
  </si>
  <si>
    <t>Phone order evaluation</t>
  </si>
  <si>
    <t>2GB</t>
  </si>
  <si>
    <t>3DE</t>
  </si>
  <si>
    <t>n° client</t>
  </si>
  <si>
    <t>n°cde n°req</t>
  </si>
  <si>
    <t>DMT DMC</t>
  </si>
  <si>
    <t>commentaire global</t>
  </si>
  <si>
    <t>sous total</t>
  </si>
  <si>
    <t>total</t>
  </si>
  <si>
    <t>Identifikator</t>
  </si>
  <si>
    <t>country</t>
  </si>
  <si>
    <t>lang</t>
  </si>
  <si>
    <t>Sprache</t>
  </si>
  <si>
    <t>Anbieter</t>
  </si>
  <si>
    <t>provider</t>
  </si>
  <si>
    <t>processing date</t>
  </si>
  <si>
    <t>Anzahl der Follow-ups</t>
  </si>
  <si>
    <t>number of follow-ups</t>
  </si>
  <si>
    <t>assessor</t>
  </si>
  <si>
    <t>Prüfer</t>
  </si>
  <si>
    <t>Zielsetzung</t>
  </si>
  <si>
    <t>objective</t>
  </si>
  <si>
    <t>check date</t>
  </si>
  <si>
    <t>Prüfdatum</t>
  </si>
  <si>
    <t>Kommentar</t>
  </si>
  <si>
    <t>commentary</t>
  </si>
  <si>
    <t>rating out of 100</t>
  </si>
  <si>
    <t>total score</t>
  </si>
  <si>
    <t>Gesamtergebnis</t>
  </si>
  <si>
    <t>Gesamtkommentar</t>
  </si>
  <si>
    <t>overall comment</t>
  </si>
  <si>
    <t>subtotal</t>
  </si>
  <si>
    <t>Zwischensumme</t>
  </si>
  <si>
    <t>Summe</t>
  </si>
  <si>
    <t>Rufnummer</t>
  </si>
  <si>
    <t>call number</t>
  </si>
  <si>
    <t>Kundennummer</t>
  </si>
  <si>
    <t>customer number</t>
  </si>
  <si>
    <t>request number</t>
  </si>
  <si>
    <t>Telefonnummer</t>
  </si>
  <si>
    <t>tel number</t>
  </si>
  <si>
    <t>Auftragsart</t>
  </si>
  <si>
    <t>order type</t>
  </si>
  <si>
    <t>customer request</t>
  </si>
  <si>
    <t>Kundenanfrage</t>
  </si>
  <si>
    <t>Codification</t>
  </si>
  <si>
    <t>Evaluation SAV</t>
  </si>
  <si>
    <t>commentaire traduit en Français</t>
  </si>
  <si>
    <t>Auswertung telefonischer Kundenservice</t>
  </si>
  <si>
    <t>Land</t>
  </si>
  <si>
    <t>Bearbeitungsdatum</t>
  </si>
  <si>
    <t>Ergebnis von 100</t>
  </si>
  <si>
    <t>Agent</t>
  </si>
  <si>
    <t>Ticketnummer</t>
  </si>
  <si>
    <t>fr</t>
  </si>
  <si>
    <t>en</t>
  </si>
  <si>
    <t>de</t>
  </si>
  <si>
    <t>nl</t>
  </si>
  <si>
    <t>cs</t>
  </si>
  <si>
    <t>pl</t>
  </si>
  <si>
    <t>sk</t>
  </si>
  <si>
    <t>AT</t>
  </si>
  <si>
    <t>BE</t>
  </si>
  <si>
    <t>CH</t>
  </si>
  <si>
    <t>CZ</t>
  </si>
  <si>
    <t>NL</t>
  </si>
  <si>
    <t>PL</t>
  </si>
  <si>
    <t>SK</t>
  </si>
  <si>
    <t>DCS</t>
  </si>
  <si>
    <t>fid</t>
  </si>
  <si>
    <t>GETALINE</t>
  </si>
  <si>
    <t>rec</t>
  </si>
  <si>
    <t>OUTSOURCIA</t>
  </si>
  <si>
    <t>hu</t>
  </si>
  <si>
    <t>HU</t>
  </si>
  <si>
    <t>INTERNE</t>
  </si>
  <si>
    <t>CA</t>
  </si>
  <si>
    <t>ID Contact</t>
  </si>
  <si>
    <t>Relation Client</t>
  </si>
  <si>
    <t>Connaissance Métier</t>
  </si>
  <si>
    <t>Expérience client</t>
  </si>
  <si>
    <t>Enchantement</t>
  </si>
  <si>
    <t>Accueil</t>
  </si>
  <si>
    <t>Identification</t>
  </si>
  <si>
    <t>Respect de la mise en attente</t>
  </si>
  <si>
    <t>Conclusion du contact</t>
  </si>
  <si>
    <t>Personnalisation</t>
  </si>
  <si>
    <t>Climat de l'appel</t>
  </si>
  <si>
    <t>Maîtrise de l'entretien et directivité</t>
  </si>
  <si>
    <t>Découverte et reformulation</t>
  </si>
  <si>
    <t>Pertinence de la réponse</t>
  </si>
  <si>
    <t>Utilisation.Maîtrise des outiils</t>
  </si>
  <si>
    <t>Délai de traitement</t>
  </si>
  <si>
    <t>Ecoute et emphatie</t>
  </si>
  <si>
    <t>Bonus</t>
  </si>
  <si>
    <t>GRILLE AFM "SAV"</t>
  </si>
  <si>
    <t>Critère et items Qualité</t>
  </si>
  <si>
    <t>Notation</t>
  </si>
  <si>
    <t>Barème AFM</t>
  </si>
  <si>
    <t>Barème OUT</t>
  </si>
  <si>
    <t>NA</t>
  </si>
  <si>
    <t>Maîtrisé</t>
  </si>
  <si>
    <t>A perfectionner</t>
  </si>
  <si>
    <t>non maîtrisé</t>
  </si>
  <si>
    <t>SI: Le conseiller est manifestement incorrect avec le client durant l'accueil.</t>
  </si>
  <si>
    <t>SI</t>
  </si>
  <si>
    <t>0 su rle suivi</t>
  </si>
  <si>
    <t>Barème</t>
  </si>
  <si>
    <t>Conforme</t>
  </si>
  <si>
    <t>Non conforme</t>
  </si>
  <si>
    <t>SI:Le client est interrompu, le Conseiller le met en attente de façon intempestive ou si la durée de mise en attente dépasse 3m sans reprise</t>
  </si>
  <si>
    <t>Maîtrisée</t>
  </si>
  <si>
    <t xml:space="preserve">Non maîtrisée </t>
  </si>
  <si>
    <t xml:space="preserve">Le conseiller assure une prise de congé courtoise et normée ``Je vous remercie M/MME xxx de votre appel et je vous souhaite une bonne journée de la part d`Atlas for Men``. </t>
  </si>
  <si>
    <t>Non maîtrisé</t>
  </si>
  <si>
    <t>Le conseiller mène l'interaction avec directivité.
Il sait rebondir, contre argumenter les objections du client, et ne se laisse pas déborder. 
Tout en prenant en compte la réaction/le mécontentement du client.</t>
  </si>
  <si>
    <t>non maîtrisée</t>
  </si>
  <si>
    <t xml:space="preserve">SI : l'agent ne reformule pas la demande du client </t>
  </si>
  <si>
    <t xml:space="preserve">Le conseiller applique la procédure et réponds correctement de manière complète et personnalisée à la demande du client. </t>
  </si>
  <si>
    <t>Incomplète</t>
  </si>
  <si>
    <t>SI: Le client n’obtient pas la réponse à sa demande ou est induit en erreur suite à une informantion manquante ou erronée alors que les informations sont disponibles au niveau du centre de contact.</t>
  </si>
  <si>
    <t>Utilisation/Maîtrise des outils</t>
  </si>
  <si>
    <t>Le conseiller sait rechercher, lire et trouver les informations dans les outils mis à sa disposition.</t>
  </si>
  <si>
    <t xml:space="preserve">Délai de traitement </t>
  </si>
  <si>
    <t xml:space="preserve">Le conseiller effectue un accompagnement adapté au contexte dans un climat professionnel , le climat de l`appel est parfaitement adapté. Le conseiller rassure le client lorsque cela est nécessaire. il l`accompagne pas à pas dans ses démarches et n`hésite pas à reformuler ses réponses lorsque le client en a besoin. Le client doit comprendre qu`il est entièrement pris en charge. </t>
  </si>
  <si>
    <t>Maitrisé</t>
  </si>
  <si>
    <t>Absent</t>
  </si>
  <si>
    <t>Ecoute et Empathie</t>
  </si>
  <si>
    <t xml:space="preserve">Le conseiller prend en compte le ressenti éventuel du client et ce dès le début de l'entretien. Il sait présenter les excuses de l'entreprise lorsque le client est victime d'un dysfonctionnement.
Il montre des qualités d'écoute et de compréhension des demandes du client et s'applique à résoudre les difficultés vécues par le client et à l'apaiser. Il Parvient à ce que le client exprime sa satisfaction au terme de l'entretien alors que l'appel a mis en évidence des motifs d'insatisfaction" </t>
  </si>
  <si>
    <t>Enchantement client</t>
  </si>
  <si>
    <t xml:space="preserve">L`accueil est normé (Atlas for Men , ``votre prenom``,bonjour,Vous me rappelez votre numéro de client s`il vous plait?) clair et compréhensible. </t>
  </si>
  <si>
    <t>Non évalué</t>
  </si>
  <si>
    <t xml:space="preserve">L'accueil n'est pas normé : absence d'un élément de présentation ou absence d'accueil / faux départ </t>
  </si>
  <si>
    <t>Le conseiller annonce clairement l'objet de la mise en attente/transfert et reprend l'appel en remerciant d'avoir patienté sans avoir dépassé 1m30s sans reprise du client.</t>
  </si>
  <si>
    <t xml:space="preserve">Non évalué : pas de mise en attente pendant l'appel
</t>
  </si>
  <si>
    <t>SI: Le conseiller est manifestement incorrect avec le client lors de la prise de congé , prise de congé absente</t>
  </si>
  <si>
    <t xml:space="preserve">Prise de congés non faite mais l'agent n'est pas incorrect. L'agent n'a pas la bonne manière de prendre congés de son client. </t>
  </si>
  <si>
    <t>+'Le ton employé est cordial et respectueux. Le sourire, empathie et dynamisme sont présents.
'+'Le conseiller utilise un registre de langage professionnel et des formulations positives.</t>
  </si>
  <si>
    <t>RELATIONNEL CLIENT</t>
  </si>
  <si>
    <t>CONNAISSANCE METIER</t>
  </si>
  <si>
    <t xml:space="preserve">Le conseiller demande au client de manière directe l`objet de son appel et reformule obligatoirement la demande du client. </t>
  </si>
  <si>
    <t>Le conseiller communique le délai de traitement si la résolution n`est pas immédiate ( dossier de suivi ou réclamation, transfert N2 …)</t>
  </si>
  <si>
    <t>SI: Le conseiller communique un délai de traitement erroné ou ne le communique pas alors que l'information est accessible à son niveau.</t>
  </si>
  <si>
    <t>EXPERIENCE CLIENT</t>
  </si>
  <si>
    <t>ENCHANTEMENT</t>
  </si>
  <si>
    <t xml:space="preserve">Allez au délà des attentes du client en apportant une information qui n'est pas en lien avec sa demande                              </t>
  </si>
  <si>
    <t xml:space="preserve">SI: Le conseiller est manifestement incorrect avec le client tout au long de l'appel </t>
  </si>
  <si>
    <t>SI: Le conseiller est manifestement incorrect avec le client tout au long de l'appel.</t>
  </si>
  <si>
    <t xml:space="preserve">L'accueil n'est pas correct mais ne nécessite pas une SI  </t>
  </si>
  <si>
    <t xml:space="preserve">Le conseiller manque de personnalisation lors de son appel </t>
  </si>
  <si>
    <t xml:space="preserve">Un ou plusieurs des éléments (sourire, empathie, dynamisme, langage, formulation) restent encore à travailler  </t>
  </si>
  <si>
    <t xml:space="preserve">L'agent n'est pas incorrect avec client mais le climat d'appel n'est pas maîtrisé </t>
  </si>
  <si>
    <t xml:space="preserve">Le conseiller manque de directivité et a du mal à rebondir et argumenter les objections du client. </t>
  </si>
  <si>
    <t xml:space="preserve">Le conseiller se laisse porter par le client qui dirige l'appel. Aucun rebond, Ne prend pas en compte la réaction du client. </t>
  </si>
  <si>
    <t>La manière de reformuler est à travailler et/ou la demande du besoin</t>
  </si>
  <si>
    <t xml:space="preserve">Le conseiller ne répond pas à toutes les demandes du client ou manque de connaissance sur les procédures. </t>
  </si>
  <si>
    <t>Le conseiller ne sait pas utiliser les outils mis à sa disposition</t>
  </si>
  <si>
    <t xml:space="preserve"> Le conseiller ne codifie pas son appel ou se trompe de codification</t>
  </si>
  <si>
    <t>Le conseiller doit travailler son accompagnement afin que le client se sente pris en charge</t>
  </si>
  <si>
    <t xml:space="preserve">Le conseiller fait preuve d'aucun accompagnement client. Il ne le rassure pas. Le climat de l'appel n'est pas adapté. </t>
  </si>
  <si>
    <t xml:space="preserve">Le conseiller manque d'écoute et d'empathie vis à vis du client </t>
  </si>
  <si>
    <t xml:space="preserve">Le conseiller ne demande pas l'objet de l'appel au client et la reformulation n'est pas en lien avec la demande du client </t>
  </si>
  <si>
    <t>LISTE DES SITUATIONS INACCEPTABLES</t>
  </si>
  <si>
    <t>Aucune conclusion du contact</t>
  </si>
  <si>
    <t xml:space="preserve">La fiabilisation du client n'est pas claire. </t>
  </si>
  <si>
    <t>Le conseiller fait un résumé concis des principales décisions prises ou explications données et valide la compréhension du client, tout en précisant la suite donnée ou à donner (formalités éventuelles à effectuer). Il s`assure d`avoir répondu à toutes les questions et apporte des Informations utiles qui permettront au client de faciliter ses prochaines démarches.</t>
  </si>
  <si>
    <t xml:space="preserve">La réponse du client n'est pas maîtrisée mais cela n'implique pas une SI </t>
  </si>
  <si>
    <t xml:space="preserve">La prise de congés n'est pas normée. Absence d'un élément </t>
  </si>
  <si>
    <t>Le conseiller oubli de donner l'objet de la mise en attente ou ne remercie pas à la repise de l'appel</t>
  </si>
  <si>
    <t>Le conseiller personnalise le contact avec le nom du client minimum 3 fois tout au long de l`appel ( Découverte des besoins/Reformulation ou Fiabilisation/ Prise de congés)</t>
  </si>
  <si>
    <t>Customer Relationship</t>
  </si>
  <si>
    <t>Customer Experience</t>
  </si>
  <si>
    <t>Professional Competence</t>
  </si>
  <si>
    <t>Enchantment</t>
  </si>
  <si>
    <t>Reception</t>
  </si>
  <si>
    <t>Respect of the hold time</t>
  </si>
  <si>
    <t>Conclusion of the contact</t>
  </si>
  <si>
    <t>Personalization</t>
  </si>
  <si>
    <t>Climate of the call</t>
  </si>
  <si>
    <t>Relevance of the answer</t>
  </si>
  <si>
    <t>Use and control of tools</t>
  </si>
  <si>
    <t>Coding</t>
  </si>
  <si>
    <t>Processing time</t>
  </si>
  <si>
    <t>Customer experience</t>
  </si>
  <si>
    <t>Listening and empathy</t>
  </si>
  <si>
    <t>Taken leave</t>
  </si>
  <si>
    <t>Control and lead of the call</t>
  </si>
  <si>
    <t>Discovery and rephrasing</t>
  </si>
  <si>
    <t>AFM CUSTOMER SERVICE RATING BOARD</t>
  </si>
  <si>
    <t>Criteria and quality item</t>
  </si>
  <si>
    <t>Customer relationship</t>
  </si>
  <si>
    <t>Note</t>
  </si>
  <si>
    <t>Scale</t>
  </si>
  <si>
    <t>Not evaluated</t>
  </si>
  <si>
    <t xml:space="preserve">The reception is standard (Atlas for Men, `your name`, hello, can you remind me of your customer number please?) clear and understandable. </t>
  </si>
  <si>
    <t>Achieved</t>
  </si>
  <si>
    <t xml:space="preserve">The reception is not in accordance with standards: absence of an item of presentation or missing reception / wrong start </t>
  </si>
  <si>
    <t>To improve</t>
  </si>
  <si>
    <t>The reception is not correct but does not deserve an unacceptable situation</t>
  </si>
  <si>
    <t>Not achieved</t>
  </si>
  <si>
    <t xml:space="preserve">The consultant is obviously incorrect with the customer during the reception </t>
  </si>
  <si>
    <t>Unacceptable situation</t>
  </si>
  <si>
    <t>0 on the whole following-up</t>
  </si>
  <si>
    <t xml:space="preserve">The consultant confirms or requests the following information: full name, full address, mobile phone number (or by default landline), date of birth and e-mail address.	</t>
  </si>
  <si>
    <t xml:space="preserve">"Incomplete identification: telephone number or e-mail address or date of birth missing	</t>
  </si>
  <si>
    <t xml:space="preserve">The consultant does not confirm at least 1 of these elements: Civility, postal address, phone and e-mail address.	</t>
  </si>
  <si>
    <t>Respect of the hold on time</t>
  </si>
  <si>
    <t xml:space="preserve">Not evaluated: no holding during the call
</t>
  </si>
  <si>
    <t xml:space="preserve">The consultant clearly announces the purpose of the hold/transfer and resumes the call by thanking the customer for having waited without having exceeded 1m30s without resuming the customer.	</t>
  </si>
  <si>
    <t>In conformity</t>
  </si>
  <si>
    <t>The consultant forgets to give the purpose of the call on hold or does not thank the customer when the call is resumed.</t>
  </si>
  <si>
    <t>Not in conformity</t>
  </si>
  <si>
    <t xml:space="preserve">The customer is interrupted, the advisor puts him/her on hold in an untimely manner or if the duration of the hold exceeds 3 minutes without resumption.	</t>
  </si>
  <si>
    <t>Ending of the contact</t>
  </si>
  <si>
    <t>The consultant gives a concise summary of the main decisions taken or explanations given and validates the client's understanding, while specifying the follow-up to be given or to be given (possible formalities to be carried out). He/she makes sure that all questions have been answered and provides useful information that will help the client in his/her next steps.</t>
  </si>
  <si>
    <t xml:space="preserve">The reliability of the customer is not evident. </t>
  </si>
  <si>
    <t>No conclusion of the contact</t>
  </si>
  <si>
    <t>Taking leave</t>
  </si>
  <si>
    <t xml:space="preserve">The consultant provides a courteous and standardised leave-taking ``Thank you for your order and have a nice day on behalf of Atlas For Men, Goodbye Mr/Mrs XXX``. 	</t>
  </si>
  <si>
    <t xml:space="preserve">Leave taking is not standardised. Missing an element </t>
  </si>
  <si>
    <t xml:space="preserve">The taking leave was omited but agent is not incorrect. The agent does not have the correct way to leave the client. </t>
  </si>
  <si>
    <t>The consultant is obviously incorrect with the customer when taken leave,or no leave at all.</t>
  </si>
  <si>
    <t>Personnalization</t>
  </si>
  <si>
    <t>The consultant personalizes the contact with the customer's name at least 3 times during the call (Discovery of the request / Reformulation or Reliability / Leave)</t>
  </si>
  <si>
    <t xml:space="preserve">The consultant misses the personalization during the call </t>
  </si>
  <si>
    <t xml:space="preserve">+The consultant is cordial and respectful.Smiles, empathy and dynamism are present.
+'The agent uses professional language and positive formulations.	</t>
  </si>
  <si>
    <t xml:space="preserve">One or more of the elements (smile, empathy, dynamism, language, formulation) still need to be worked on </t>
  </si>
  <si>
    <t xml:space="preserve">The agent is not incorrect with the customer but the call climate is not handled well 	</t>
  </si>
  <si>
    <t xml:space="preserve">The consultant is clearly incorrect with the customer during the whole conversation.	</t>
  </si>
  <si>
    <t>Control of the interview and directivity</t>
  </si>
  <si>
    <t>The consultant leads the interaction with direction.
He/she knows how to bounce back, counter-argue the client's objections, and does not let himself be overloaded. 
While taking into account the client's reaction/displeasure.</t>
  </si>
  <si>
    <t xml:space="preserve">The consultant misses direction and has difficulty in rebounding and arguing the customer's objections </t>
  </si>
  <si>
    <t xml:space="preserve">The consultant is carried along by the customer who leads the call. No bounce-back, does not take into account the customer's reaction. </t>
  </si>
  <si>
    <t>Business knowledge</t>
  </si>
  <si>
    <t xml:space="preserve">Discovery and reformulation	</t>
  </si>
  <si>
    <t xml:space="preserve">The consultant asks the client directly what the call is about and necessarily rephrases the client's request. </t>
  </si>
  <si>
    <t xml:space="preserve">The way of reformulating has to be worked on and/or the request </t>
  </si>
  <si>
    <t xml:space="preserve">The consultant does not ask the customer what the call is about and the rephrasing is not related to the customer's request </t>
  </si>
  <si>
    <t xml:space="preserve">The agent does not reformulate the customers' request </t>
  </si>
  <si>
    <t>Relevance of the response</t>
  </si>
  <si>
    <t xml:space="preserve">The consultant applies the procedure and responds correctly and completely to the customers' request. </t>
  </si>
  <si>
    <t xml:space="preserve">The consultant does not respond to all the client's requests or lacks knowledge of the procedures. </t>
  </si>
  <si>
    <t>Not complete</t>
  </si>
  <si>
    <t>The customer's response is not under control but this does not implicate an unacceptable situation.</t>
  </si>
  <si>
    <t xml:space="preserve"> The customer does not get the answer to his request or is misled by missing or wrong information when the information is available at the call centre.</t>
  </si>
  <si>
    <t>Use/handling of tools</t>
  </si>
  <si>
    <t>The consultant knows how to search, read and find information in the tools provided.</t>
  </si>
  <si>
    <t>The consultant does not know how to use the tools at his disposal</t>
  </si>
  <si>
    <t>The consultant qualifies the call correctly at the end of the call</t>
  </si>
  <si>
    <t xml:space="preserve"> The consultant does not code his call or codes it wrongly</t>
  </si>
  <si>
    <t xml:space="preserve">Processing delay 	</t>
  </si>
  <si>
    <t>The consultant communicates the processing time if the resolution is not instantaneous (follow-up file or claim, N2 transfer ...)</t>
  </si>
  <si>
    <t>The consultant communicates an incorrect processing time or does not communicate it even though the information is available at his/her level.</t>
  </si>
  <si>
    <t>CUSTOMER EXPERIENCE</t>
  </si>
  <si>
    <t xml:space="preserve">The consultant provides appropriate support in a professional atmosphere, the call climate is perfectly adjusted to the context. The consultant reassures the customer when necessary. He assists the customer step by step and does not hesitate to rephrase his answers when the customer needs it. The client must understand that he/she is fully taken care of. </t>
  </si>
  <si>
    <t>The consultant must work on his support so that the client feels cared for</t>
  </si>
  <si>
    <t xml:space="preserve">The consultant shows no customer support. He does not reassure him. The climate of the call is not appropriate. </t>
  </si>
  <si>
    <t>Attention and Empathy</t>
  </si>
  <si>
    <t xml:space="preserve">The consultant does not listen and/or show empathy to the client. </t>
  </si>
  <si>
    <t>DELIGHT</t>
  </si>
  <si>
    <t>Enchanting customer</t>
  </si>
  <si>
    <t xml:space="preserve">Going beyond the customer's expectations by providing information that is not related to their request                              </t>
  </si>
  <si>
    <t>LIST OF UNACCEPTABLE SITUATIONS</t>
  </si>
  <si>
    <t>The consultant is obviously incorrect with the customer during the reception.</t>
  </si>
  <si>
    <t>The customer is interrupted, the consultant puts him on hold in an inopportune way or if the holding time exceeds 3m without being resumed</t>
  </si>
  <si>
    <t>The consultant is obviously incorrect with the client when taking leave, no time out.</t>
  </si>
  <si>
    <t>Le conseiller est manifestement incorrect avec le client tout au long de l'appel.The consultant is clearly incorrect with the customer throughout the call.</t>
  </si>
  <si>
    <t xml:space="preserve">the agent does not re-phrase the client's request </t>
  </si>
  <si>
    <t>The customer is not answered or is misled by missing or incorrect information when the information is available at the call centre.</t>
  </si>
  <si>
    <t>The consultant communicates an incorrect processing time or does not communicate it although the information is available at his level.</t>
  </si>
  <si>
    <t>Kundenbeziehung</t>
  </si>
  <si>
    <t>Fachkompetenz</t>
  </si>
  <si>
    <t>Kundenerfahrung</t>
  </si>
  <si>
    <t>Positivität</t>
  </si>
  <si>
    <t>Begrüßung</t>
  </si>
  <si>
    <t>Identifikation</t>
  </si>
  <si>
    <t>Beendigung des Kontaktes</t>
  </si>
  <si>
    <t>Respektieren der Wartezeiten</t>
  </si>
  <si>
    <t>Verabschiedung</t>
  </si>
  <si>
    <t>Personalisierung</t>
  </si>
  <si>
    <t>Gesprächsklima</t>
  </si>
  <si>
    <t>Gesprächsführung und Direktive</t>
  </si>
  <si>
    <t>Bedürfnisermittlung und Reformulierung</t>
  </si>
  <si>
    <t>Relevanz der Antwort</t>
  </si>
  <si>
    <t>Nutzung/Umgang mit den Arbeitsmitteln</t>
  </si>
  <si>
    <t>Kodierung</t>
  </si>
  <si>
    <t>Bearbeitungszeit</t>
  </si>
  <si>
    <t>Zuhören und Empathie</t>
  </si>
  <si>
    <t>TABELLE AFM "SAV"</t>
  </si>
  <si>
    <t xml:space="preserve">Bewertungs- und Qualitätskriterien </t>
  </si>
  <si>
    <t>KUNDENBEZIEHUNG</t>
  </si>
  <si>
    <t>Beurteilung</t>
  </si>
  <si>
    <t>Punkteschlüssel AFM</t>
  </si>
  <si>
    <t>Punkteschlüssel OUT</t>
  </si>
  <si>
    <t>Nicht bewertet</t>
  </si>
  <si>
    <t>Die Begrüßung ist standardisiert (Atlas for Men):" Ihr Vorname, Guten Tag, nennen Sie mir bitte Ihre Kundennummer) klar und verständlich.</t>
  </si>
  <si>
    <t>erfüllt</t>
  </si>
  <si>
    <t>zu verbessern</t>
  </si>
  <si>
    <t xml:space="preserve">Die Begrüßung ist nicht korrekt, ist aber noch keine SI  </t>
  </si>
  <si>
    <t>nicht erfüllt</t>
  </si>
  <si>
    <t>0 für das gesamte Monitoring</t>
  </si>
  <si>
    <t>Einhalten der Zeiten in der Warteschleife</t>
  </si>
  <si>
    <t xml:space="preserve">nicht bewertet: Keine Wartezeit
</t>
  </si>
  <si>
    <t>konform</t>
  </si>
  <si>
    <t>nicht konform</t>
  </si>
  <si>
    <t>Beendigung des Kundenkontaktes</t>
  </si>
  <si>
    <t xml:space="preserve">nicht erfüllt </t>
  </si>
  <si>
    <t xml:space="preserve">Der/die Berater/in sorgt für eine höfliche Verabschiedung gemäß Standardisierung ``Ich danke Ihnen Herr/Frau xxx für Ihren Anruf und wünsche Ihnen einen schönen Tag im Namen von Atlas for Men``. </t>
  </si>
  <si>
    <t>Im Gespräch fehlt es an persönlicher Ansprache</t>
  </si>
  <si>
    <t>nicht beherrscht</t>
  </si>
  <si>
    <t>Klima des Gesprächs</t>
  </si>
  <si>
    <t>+'Der Umgangston ist herzlich und respektvoll. Ein Lächeln, Einfühlungsvermögen und Dynamik sind vorhanden.
'+'Die Beraterin/der Berater verwendet ein professionelles Sprachregister und positive Formulierungen.</t>
  </si>
  <si>
    <t xml:space="preserve">An einem oder mehreren der Elemente (Lächeln, Empathie, Dynamik, Sprache, Formulierung) muss noch gearbeitet werden.   </t>
  </si>
  <si>
    <t>Der/die Berater/in vehält sich korrekt, aber das Gesprächsklima ist nich angenehm.</t>
  </si>
  <si>
    <t>FACHKOMPETENZ</t>
  </si>
  <si>
    <t>Ermittlung der Kundenbedürfnisse und Reformulierung</t>
  </si>
  <si>
    <t xml:space="preserve">Der/die Berater/in fragt den Kunden nicht nach dem Zweck des Anrufs und die Umformulierung steht nicht im Zusammenhang mit dem Anliegen des Kunden. </t>
  </si>
  <si>
    <t xml:space="preserve">Der/die Berater/in beantwortet nicht alle Fragen des Kunden oder es fehlt ihr/ihm an Wissen über die entsprechenden Verfahrensweisen. </t>
  </si>
  <si>
    <t>unvollständig</t>
  </si>
  <si>
    <t>SI: Der Kunde erhält keine Antwort auf seine Frage oder wird aufgrund fehlender oder falscher Informationen in die Irre geführt, obwohl die Informationen im Kundencenter verfügbar sind.</t>
  </si>
  <si>
    <t>Der/die Berater/in kann mit den zur Verfügung stehenden Arbeitsmitteln Informationen suchen, lesen und finden.</t>
  </si>
  <si>
    <t>Der/die Berater/in kann nicht mit den zur Verfügung stehenden Arbeitsmitteln  umgehen.</t>
  </si>
  <si>
    <t xml:space="preserve">Der/die Berater/in kodiert seine Anfrage nicht oder trägt den falschen Kontakgrund ein </t>
  </si>
  <si>
    <t>nicht bewertet</t>
  </si>
  <si>
    <t>Der/die Berater/in  gibt die Bearbeitungszeit an, wenn die Anfrage des Kunden nicht direkt beantwortet werden kann( Wiedervorlage oder Beschwerdefall, Weitervermittlung des Falles...).</t>
  </si>
  <si>
    <t>SI: Der/die Berater/in teilt eine falsche Bearbeitungszeit mit oder teilt sie nicht mit, obwohl die Informationen auf seiner/ihrer Ebene zugänglich sind.</t>
  </si>
  <si>
    <t xml:space="preserve"> KUNDENERFAHRUNG</t>
  </si>
  <si>
    <t>Der/die Berater/in muss am Umgang mit dem Kunden arbeiten, damit sich der Kunde bestmöglich betreut fühlt.</t>
  </si>
  <si>
    <t>Zuhören und Empahtie</t>
  </si>
  <si>
    <t>Der/die Berater/in hört dem Kunden überhaupt nicht zu und zeigt ihm gegenüber keinerlei Einfühlungsvermögen.</t>
  </si>
  <si>
    <t>PLUSPUNKT</t>
  </si>
  <si>
    <t xml:space="preserve">Pluspunkt </t>
  </si>
  <si>
    <t xml:space="preserve">Die Erwartungen des Kunden übertreffen, indem Informationen geliefert werden, die über die Kundenanfrage hinausreichen.                         </t>
  </si>
  <si>
    <t>LISTE DER INAKZEPTABLEN SITUATIONEN (SI)</t>
  </si>
  <si>
    <t>Die Begrüßung entspricht nicht dem Standard: Fehlen eines Elements der Vorstellung oder der Begrüßung / Falscher Gesprächsbeginn</t>
  </si>
  <si>
    <t>SI: Der/die Berater/in verhält sich während der Begrüßung offensichtlich inkorrekt dem Kunden gegenüber.</t>
  </si>
  <si>
    <t>Der/die Berater/in nennt deutlich den Zweck für die Warteschleife/Weiterleitung und nimmt den Anruf wieder auf, bedankt sich für die Geduld, die Wartezeit von 1 m 30 s  ohne Wiederaufnahme des Gesprächs wird dabei nicht überschritten</t>
  </si>
  <si>
    <t>Der/die Berater/in vergisst, den Grund für die Warteschleife zu nennen oder bedankt sich nicht, wenn der Anruf wieder aufgenommen wird.</t>
  </si>
  <si>
    <t>Der/die Berater/in fasst die wichtigsten Entscheidungen oder Erklärungen kurz zusammen, versichert sich, dass der Kunde alles verstanden hat und erklärt wie es weitergeht (z. B. welche Formalitäten noch zu erledigen sind). Er/Sie stellt sicher, dass alle Fragen beantwortet wurden und gibt dem Kunden nützliche Informationen, die ihm die nächsten Schritte erleichtern.</t>
  </si>
  <si>
    <t>Der Kunde erhälte keine zuverlässige(n) Antworte(n) / Lösung(en) für sein Anliegen.</t>
  </si>
  <si>
    <t>Es erfolgt kein Gesprächsabschluss.</t>
  </si>
  <si>
    <t>Standardverabschiedung fehlt, aber der/die Berater/in ist nicht inkorrekt. Der/die Berater/in verabschiedet sich nicht in der richtigen Art und Weise von seinem Kunden.</t>
  </si>
  <si>
    <t xml:space="preserve">SI: Der/die Berater/in verhält sich während des gesamten Anrufs offensichtlich nicht korrekt gegenüber dem Kunden. </t>
  </si>
  <si>
    <t xml:space="preserve">Dem/der Berater/in fehlt es an Direktive und es fällt ihm/ihr schwer, den Einwänden des Kunden zu begegnen und dagegen zu argumentieren. </t>
  </si>
  <si>
    <t xml:space="preserve">Der/die Berater/in fragt den Kunden direkt nach dem Grund seines Anrufs und formuliert das Anliegen des Kunden in jedem Fall um. </t>
  </si>
  <si>
    <t xml:space="preserve">SI : Der/die Berater/in formuliert die Kundenanfrage gar nicht um </t>
  </si>
  <si>
    <t xml:space="preserve">Der/die Berater/in wendet die gelernten Verfahren an und antwortet korrekt, vollständig und persönlich auf die Anfrage des Kunden. </t>
  </si>
  <si>
    <t>Die Antwort des/der Beraters/in beantwortet die Frage nicht hinlänglich, aber dies impliziert keine SI.</t>
  </si>
  <si>
    <t xml:space="preserve">Der/die Berater/in betreut/berät den Kunden nicht richtig. Er/Sie beruhigt ihn nicht. Das Gesprächsklima ist nicht der Situation angepasst. </t>
  </si>
  <si>
    <t>Der/die Berater/in berücksichtigt die möglichen Gefühle des Kunden von Beginn des Gesprächs an. Er/sie ist in der Lage, sich im Namen des Unternehmes entsprechend für die Unannhemlichkeiten des Kunden zu entschuldigen.
Er/sie hört aktiv zu und zeigt Verständnis für die Anliegen des Kunden und bemüht sich, die vom Kunden erlebten Schwierigkeiten zu lösen und den Kunden zu besänftigen. Er/sie erreicht, dass der Kunde am Ende des Gesprächs seine/ihre Zufriedenheit zum Ausdruck bringt, obwohl  dem Anruf eine Unzufriedenheit zugrunde lag.</t>
  </si>
  <si>
    <t>Nutzung von Arbeitsmitteln/ Umgang mit Tools</t>
  </si>
  <si>
    <t>Verabschiedung nicht gemäß Standardisierung, Fehlen eines Elements.</t>
  </si>
  <si>
    <t>Die Art und Weise der Umformulierung oder das Ermitteln der Kundenbedürfnisse muss noch verbessert werden.</t>
  </si>
  <si>
    <t>US</t>
  </si>
  <si>
    <t xml:space="preserve">The consultant lacks listening and empathy towards the customer </t>
  </si>
  <si>
    <t>DSP</t>
  </si>
  <si>
    <t xml:space="preserve">Le conseiller qualifie son appel correctement en fin d`appel
Le conseiller shoote une récolte d'avis en fonction du climat de l'appel </t>
  </si>
  <si>
    <t>Codification/Récolte d'avis</t>
  </si>
  <si>
    <t xml:space="preserve">Codification : uniquement si l'agent se trompe dans le motif (non valable si aucune codification)
Récolte d'avis : le climat et la raison de l'appel permettaient l'envoi de l'avis. </t>
  </si>
  <si>
    <t>scale</t>
  </si>
  <si>
    <t>Skala</t>
  </si>
  <si>
    <t>Le conseiller omet de faire la personnalisation sur l'un des items : identificatio, VA, conclusion du contact ou pris de congés</t>
  </si>
  <si>
    <t>PACKWAY</t>
  </si>
  <si>
    <t>SI: Le conseiller ne demande au client de confirmer son identité et son adresse compléte</t>
  </si>
  <si>
    <t>Le conseiller demande au client son identité et son adresse complète.
Le conseiller compléte la fiche client quand cela est nécessaire (numéro portable ou fixe si pas portable, date de naissance, adresse mail)
Le conseiller demande l'accord du client pour la réception par mail des offres AFM et de nos partenaires si optin "int" et "ext" non cochés</t>
  </si>
  <si>
    <t>Le conseiller fait l'identification des coordonnées à la place du client
Le conseiller complète en partie les informations de la fiche client (mail ou tél portable ou date de naissance)
Le conseiller ne confirme pas au moins un de ces éléments/ Opt'ins : demander l'accord au client pour la réception par mail des offres AFM et/ou de nos partenaires quand cela est nécessaire</t>
  </si>
  <si>
    <t>SI: Le conseiller ne compléte du tout la fiche client alors que cela est nécessaire
Le conseiller ne fait aucune demande d'identification au client</t>
  </si>
  <si>
    <t>SI: Der/die Berater/in fragt den Kunden nicht nach seiner Identität und nach seiner kompletten Adresse.
Der/die Berater/in vervollständigt oder aktualisiert nicht das Kundenkonto.</t>
  </si>
  <si>
    <t>Der/die Berater/in fragt den Kunden nach seiner Identität und nach seiner kompletten Adresse. Bei Anruf von 3. Personen wird zusätzlich nach dem Geburtsdatum gefragt.
Der/die Beraterin vervollständigt das Kundenkonto und trägt die notwendigen Informationen ein (Handynr. oder Festnetznr. Geburtsdatum, Email)
Wenn Optin "int" und "ext" nicht angekreuzt sind, bittet der/die Berater/in um Erlaubnis des Kunden, von AFM und unseren Partnern per Email Angebote zu erhalten.</t>
  </si>
  <si>
    <t>Der/die Berater/in personalisiert den Kontakt mit dem Namen des Kunden mindestens 1 mal (2-3 mal wären wünschenswert) während des gesamten Anrufs (Ermittlung seines Anliegens/Reformulierung oder Upselling/Verabschiedung).</t>
  </si>
  <si>
    <t>Der/die Berater/in steuert das Gespräch.
Er kann argumentieren und das Gespräch in Gang halten, Einwänden des Kunden weiß er zu begegnen und lässt sich nicht einschüchtern. 
Dabei berücksichtigt er die Reaktion/Unzufriedenheit der Kunden.</t>
  </si>
  <si>
    <t xml:space="preserve">Der/die Berater/in lässt den Kunden das Gespräch leiten, bringt keine Gegenargumente, die Reaktion des Kunden wird nicht beachtet.  </t>
  </si>
  <si>
    <t>Kodierung/Einholen einer Bewertung</t>
  </si>
  <si>
    <t>Der/die Berater/in kodiert seine Anfrage am Ende des Gesprächs mit dem richtigen Kontaktgrund
Der/die Berater/in sendet eine Bitte um Bewertung je nach Klima des Anrufs</t>
  </si>
  <si>
    <t xml:space="preserve">Kodierung : nur wenn der/die Berater/in ein falsches Motiv angibt (nicht gültig bei keiner Kodierung)
Einholung einer Bewertung : das Klima und der Grund des Anrufs erlauben die Sendung einer Bitte um Bewertung </t>
  </si>
  <si>
    <t xml:space="preserve">Der/die Berater/in führt eine kontextbezogene Beratung in einem professionellen Klima durch, das Gesprächsklima ist perfekt der jeweiligen Situation angepasst. Der/die Berater/in beruhigt den Kunden, wenn es nötig ist. Er/sie begleitet den Kunden Schritt für Schritt und zögert nicht, dessen Antworten zu reformulieren, wenn dies nötig ist. Der Kunde soll das Gefühl haben, dass man sich seiner und seines Anliegens vollständig annimmt. </t>
  </si>
  <si>
    <t>Dem/der Berater/in fehlt es am Vermögen zuzuhören sowie an Einfühlungsvermögen gegenüber dem Kunden.</t>
  </si>
  <si>
    <t>SI: Der/die Berater/in ist bei der Verabschiedung offensichtlich inkorrekt gegenüber dem Kunden, Verabschiedung fehlt ganz.</t>
  </si>
  <si>
    <t>Der/die Berater/in tätigt die Identifizierung anstelle des Kunden.
Der/die Berater/in vervollständigt nicht alle erforderlichen Felder (Handy-Nr, Email, Geburtsdatum) oder aktualisiert nur teilweise das Kundenkonto
Der/die Berater/in bestätigt nicht mindestens eines der folgenden Elemente/Optins : bittet bei Bedarf um Erlaubnis des Kunden, von AFM und/oder von unseren Partnern Angebote per Email zu erhalten</t>
  </si>
  <si>
    <t>SI:Der Kunde wird unterbrochen, der/die Berater/in hält ihn dauerhaft oder grundlos in der Warteschleife oder die Dauer in der Warteschleife 3 m ohne Wiederaufnahme überschreitet.</t>
  </si>
  <si>
    <t>KONECTA</t>
  </si>
  <si>
    <t>KONECTA SA</t>
  </si>
  <si>
    <t>OUTSOURCIA CASA</t>
  </si>
  <si>
    <t xml:space="preserve">The consultant considers the customer's possible feelings from the beginning of the interview. He/she knows how to apologise on behalf of the company when the customer is a victim of a malfunction.
Listens to and understands the customer's requests and tries to sort out the customer's difficulties and to calm him/her down. He/she succee ds in getting the customer to express satisfaction at the end of the interview, even though the call has highlighted reasons for dissatisfaction.
</t>
  </si>
  <si>
    <t>OCEANCALL</t>
  </si>
  <si>
    <t xml:space="preserve">Le conseiller n'écoute pas activement et/ou ne montre pas du tout d'empathie envers le client.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</si>
</sst>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C]mmm\-yy;@"/>
  </numFmts>
  <fonts count="21">
    <font>
      <sz val="11"/>
      <color theme="1"/>
      <name val="Calibri"/>
      <family val="2"/>
      <scheme val="minor"/>
    </font>
    <font>
      <b/>
      <sz val="11"/>
      <color theme="1"/>
      <name val="Calibri"/>
      <family val="2"/>
      <scheme val="minor"/>
    </font>
    <font>
      <b/>
      <sz val="11"/>
      <color rgb="FFFF0000"/>
      <name val="Calibri"/>
      <family val="2"/>
      <scheme val="minor"/>
    </font>
    <font>
      <b/>
      <sz val="14"/>
      <color theme="1"/>
      <name val="Calibri"/>
      <family val="2"/>
      <scheme val="minor"/>
    </font>
    <font>
      <sz val="11"/>
      <name val="Calibri"/>
      <family val="2"/>
      <scheme val="minor"/>
    </font>
    <font>
      <b/>
      <sz val="11"/>
      <name val="Calibri"/>
      <family val="2"/>
      <scheme val="minor"/>
    </font>
    <font>
      <sz val="8"/>
      <name val="Calibri"/>
      <family val="2"/>
      <scheme val="minor"/>
    </font>
    <font>
      <sz val="11"/>
      <color rgb="FFFF0000"/>
      <name val="Calibri"/>
      <family val="2"/>
      <scheme val="minor"/>
    </font>
    <font>
      <b/>
      <u/>
      <sz val="14"/>
      <color theme="1" tint="0.499984740745262"/>
      <name val="Century Gothic"/>
      <family val="2"/>
    </font>
    <font>
      <b/>
      <sz val="12"/>
      <color rgb="FFFFFFFF"/>
      <name val="Century Gothic"/>
      <family val="2"/>
    </font>
    <font>
      <b/>
      <sz val="12"/>
      <color theme="0"/>
      <name val="Century Gothic"/>
      <family val="2"/>
    </font>
    <font>
      <sz val="11"/>
      <color rgb="FF595959"/>
      <name val="Century Gothic"/>
      <family val="2"/>
    </font>
    <font>
      <b/>
      <sz val="11"/>
      <color rgb="FFFF0000"/>
      <name val="Century Gothic"/>
      <family val="2"/>
    </font>
    <font>
      <sz val="11"/>
      <color theme="1" tint="0.34998626667073579"/>
      <name val="Century Gothic"/>
      <family val="2"/>
    </font>
    <font>
      <sz val="11"/>
      <color theme="1"/>
      <name val="Century Gothic"/>
      <family val="2"/>
    </font>
    <font>
      <b/>
      <sz val="11"/>
      <name val="Century Gothic"/>
      <family val="2"/>
    </font>
    <font>
      <b/>
      <sz val="11"/>
      <color theme="1"/>
      <name val="Century Gothic"/>
      <family val="2"/>
    </font>
    <font>
      <b/>
      <sz val="11"/>
      <color theme="1" tint="0.34998626667073579"/>
      <name val="Century Gothic"/>
      <family val="2"/>
    </font>
    <font>
      <b/>
      <sz val="12"/>
      <name val="Century Gothic"/>
      <family val="2"/>
    </font>
    <font>
      <sz val="12"/>
      <color theme="1" tint="0.34998626667073579"/>
      <name val="Century Gothic"/>
      <family val="2"/>
    </font>
    <font>
      <sz val="12"/>
      <name val="Century Gothic"/>
      <family val="2"/>
    </font>
  </fonts>
  <fills count="10">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rgb="FFED4E00"/>
        <bgColor indexed="64"/>
      </patternFill>
    </fill>
    <fill>
      <patternFill patternType="solid">
        <fgColor theme="1" tint="0.499984740745262"/>
        <bgColor indexed="64"/>
      </patternFill>
    </fill>
    <fill>
      <patternFill patternType="solid">
        <fgColor rgb="FF00B050"/>
        <bgColor indexed="64"/>
      </patternFill>
    </fill>
    <fill>
      <patternFill patternType="solid">
        <fgColor rgb="FFFFFF00"/>
        <bgColor indexed="64"/>
      </patternFill>
    </fill>
    <fill>
      <patternFill patternType="solid">
        <fgColor rgb="FFFFC000"/>
        <bgColor indexed="64"/>
      </patternFill>
    </fill>
    <fill>
      <patternFill patternType="solid">
        <fgColor rgb="FFFF0000"/>
        <bgColor indexed="64"/>
      </patternFill>
    </fill>
  </fills>
  <borders count="68">
    <border>
      <left/>
      <right/>
      <top/>
      <bottom/>
      <diagonal/>
    </border>
    <border>
      <left style="thin">
        <color indexed="64"/>
      </left>
      <right style="thin">
        <color indexed="64"/>
      </right>
      <top style="thin">
        <color indexed="64"/>
      </top>
      <bottom style="thin">
        <color indexed="64"/>
      </bottom>
      <diagonal/>
    </border>
    <border>
      <left style="medium">
        <color auto="1"/>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style="medium">
        <color auto="1"/>
      </right>
      <top/>
      <bottom style="medium">
        <color auto="1"/>
      </bottom>
      <diagonal/>
    </border>
    <border>
      <left/>
      <right style="medium">
        <color auto="1"/>
      </right>
      <top style="medium">
        <color auto="1"/>
      </top>
      <bottom style="medium">
        <color auto="1"/>
      </bottom>
      <diagonal/>
    </border>
    <border>
      <left/>
      <right/>
      <top style="medium">
        <color auto="1"/>
      </top>
      <bottom/>
      <diagonal/>
    </border>
    <border>
      <left/>
      <right/>
      <top/>
      <bottom style="medium">
        <color auto="1"/>
      </bottom>
      <diagonal/>
    </border>
    <border>
      <left style="medium">
        <color auto="1"/>
      </left>
      <right style="thin">
        <color auto="1"/>
      </right>
      <top/>
      <bottom/>
      <diagonal/>
    </border>
    <border>
      <left style="medium">
        <color auto="1"/>
      </left>
      <right style="thin">
        <color auto="1"/>
      </right>
      <top/>
      <bottom style="medium">
        <color auto="1"/>
      </bottom>
      <diagonal/>
    </border>
    <border>
      <left style="thin">
        <color auto="1"/>
      </left>
      <right style="thin">
        <color auto="1"/>
      </right>
      <top/>
      <bottom style="medium">
        <color auto="1"/>
      </bottom>
      <diagonal/>
    </border>
    <border>
      <left style="thin">
        <color auto="1"/>
      </left>
      <right style="medium">
        <color auto="1"/>
      </right>
      <top/>
      <bottom style="medium">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right style="thin">
        <color auto="1"/>
      </right>
      <top style="medium">
        <color auto="1"/>
      </top>
      <bottom style="thin">
        <color auto="1"/>
      </bottom>
      <diagonal/>
    </border>
    <border>
      <left/>
      <right style="thin">
        <color auto="1"/>
      </right>
      <top style="thin">
        <color auto="1"/>
      </top>
      <bottom style="medium">
        <color auto="1"/>
      </bottom>
      <diagonal/>
    </border>
    <border>
      <left/>
      <right style="thin">
        <color auto="1"/>
      </right>
      <top/>
      <bottom style="medium">
        <color auto="1"/>
      </bottom>
      <diagonal/>
    </border>
    <border>
      <left style="thin">
        <color auto="1"/>
      </left>
      <right/>
      <top style="thin">
        <color auto="1"/>
      </top>
      <bottom style="medium">
        <color auto="1"/>
      </bottom>
      <diagonal/>
    </border>
    <border>
      <left/>
      <right/>
      <top style="thin">
        <color auto="1"/>
      </top>
      <bottom style="medium">
        <color auto="1"/>
      </bottom>
      <diagonal/>
    </border>
    <border>
      <left/>
      <right style="medium">
        <color auto="1"/>
      </right>
      <top style="thin">
        <color auto="1"/>
      </top>
      <bottom style="medium">
        <color auto="1"/>
      </bottom>
      <diagonal/>
    </border>
    <border>
      <left style="thin">
        <color auto="1"/>
      </left>
      <right/>
      <top/>
      <bottom style="medium">
        <color auto="1"/>
      </bottom>
      <diagonal/>
    </border>
    <border>
      <left style="thin">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right style="thin">
        <color auto="1"/>
      </right>
      <top style="thin">
        <color auto="1"/>
      </top>
      <bottom style="thin">
        <color auto="1"/>
      </bottom>
      <diagonal/>
    </border>
    <border>
      <left style="medium">
        <color auto="1"/>
      </left>
      <right style="thin">
        <color auto="1"/>
      </right>
      <top style="medium">
        <color auto="1"/>
      </top>
      <bottom style="medium">
        <color auto="1"/>
      </bottom>
      <diagonal/>
    </border>
    <border>
      <left style="medium">
        <color auto="1"/>
      </left>
      <right style="thin">
        <color auto="1"/>
      </right>
      <top style="medium">
        <color auto="1"/>
      </top>
      <bottom/>
      <diagonal/>
    </border>
    <border>
      <left style="thin">
        <color auto="1"/>
      </left>
      <right style="thin">
        <color auto="1"/>
      </right>
      <top/>
      <bottom/>
      <diagonal/>
    </border>
    <border>
      <left style="thin">
        <color auto="1"/>
      </left>
      <right style="medium">
        <color auto="1"/>
      </right>
      <top/>
      <bottom/>
      <diagonal/>
    </border>
    <border>
      <left style="thin">
        <color auto="1"/>
      </left>
      <right/>
      <top/>
      <bottom/>
      <diagonal/>
    </border>
    <border>
      <left style="medium">
        <color auto="1"/>
      </left>
      <right/>
      <top style="thin">
        <color auto="1"/>
      </top>
      <bottom style="thin">
        <color auto="1"/>
      </bottom>
      <diagonal/>
    </border>
    <border>
      <left style="medium">
        <color auto="1"/>
      </left>
      <right/>
      <top style="medium">
        <color auto="1"/>
      </top>
      <bottom style="thin">
        <color auto="1"/>
      </bottom>
      <diagonal/>
    </border>
    <border>
      <left style="thin">
        <color auto="1"/>
      </left>
      <right style="thin">
        <color auto="1"/>
      </right>
      <top/>
      <bottom style="thin">
        <color auto="1"/>
      </bottom>
      <diagonal/>
    </border>
    <border>
      <left style="thin">
        <color indexed="64"/>
      </left>
      <right style="thin">
        <color indexed="64"/>
      </right>
      <top style="thin">
        <color indexed="64"/>
      </top>
      <bottom/>
      <diagonal/>
    </border>
    <border>
      <left style="thin">
        <color indexed="64"/>
      </left>
      <right/>
      <top/>
      <bottom style="thin">
        <color indexed="64"/>
      </bottom>
      <diagonal/>
    </border>
    <border>
      <left style="thin">
        <color auto="1"/>
      </left>
      <right style="thin">
        <color auto="1"/>
      </right>
      <top style="medium">
        <color auto="1"/>
      </top>
      <bottom/>
      <diagonal/>
    </border>
    <border>
      <left style="medium">
        <color auto="1"/>
      </left>
      <right style="medium">
        <color auto="1"/>
      </right>
      <top style="medium">
        <color auto="1"/>
      </top>
      <bottom/>
      <diagonal/>
    </border>
    <border>
      <left style="medium">
        <color auto="1"/>
      </left>
      <right style="medium">
        <color auto="1"/>
      </right>
      <top/>
      <bottom/>
      <diagonal/>
    </border>
    <border>
      <left style="medium">
        <color auto="1"/>
      </left>
      <right style="medium">
        <color auto="1"/>
      </right>
      <top style="medium">
        <color auto="1"/>
      </top>
      <bottom style="thin">
        <color auto="1"/>
      </bottom>
      <diagonal/>
    </border>
    <border>
      <left style="medium">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medium">
        <color auto="1"/>
      </right>
      <top/>
      <bottom style="medium">
        <color auto="1"/>
      </bottom>
      <diagonal/>
    </border>
    <border>
      <left style="medium">
        <color auto="1"/>
      </left>
      <right style="medium">
        <color auto="1"/>
      </right>
      <top style="medium">
        <color auto="1"/>
      </top>
      <bottom style="medium">
        <color auto="1"/>
      </bottom>
      <diagonal/>
    </border>
    <border>
      <left/>
      <right style="thin">
        <color auto="1"/>
      </right>
      <top/>
      <bottom/>
      <diagonal/>
    </border>
    <border>
      <left style="medium">
        <color auto="1"/>
      </left>
      <right style="medium">
        <color auto="1"/>
      </right>
      <top style="thin">
        <color indexed="64"/>
      </top>
      <bottom/>
      <diagonal/>
    </border>
    <border>
      <left/>
      <right/>
      <top style="medium">
        <color rgb="FFFFFFFF"/>
      </top>
      <bottom/>
      <diagonal/>
    </border>
    <border>
      <left/>
      <right style="medium">
        <color theme="0"/>
      </right>
      <top style="medium">
        <color rgb="FFFFFFFF"/>
      </top>
      <bottom/>
      <diagonal/>
    </border>
    <border>
      <left style="medium">
        <color theme="0"/>
      </left>
      <right style="medium">
        <color theme="0"/>
      </right>
      <top style="medium">
        <color theme="0"/>
      </top>
      <bottom style="medium">
        <color theme="0"/>
      </bottom>
      <diagonal/>
    </border>
    <border>
      <left/>
      <right style="medium">
        <color theme="0"/>
      </right>
      <top/>
      <bottom/>
      <diagonal/>
    </border>
    <border>
      <left/>
      <right/>
      <top/>
      <bottom style="medium">
        <color rgb="FFFFFFFF"/>
      </bottom>
      <diagonal/>
    </border>
    <border>
      <left/>
      <right style="medium">
        <color theme="0"/>
      </right>
      <top/>
      <bottom style="medium">
        <color rgb="FFFFFFFF"/>
      </bottom>
      <diagonal/>
    </border>
    <border>
      <left style="medium">
        <color rgb="FFFFFFFF"/>
      </left>
      <right/>
      <top style="medium">
        <color rgb="FFFFFFFF"/>
      </top>
      <bottom/>
      <diagonal/>
    </border>
    <border>
      <left style="medium">
        <color rgb="FFFFFFFF"/>
      </left>
      <right/>
      <top/>
      <bottom/>
      <diagonal/>
    </border>
    <border>
      <left style="medium">
        <color rgb="FFFFFFFF"/>
      </left>
      <right/>
      <top/>
      <bottom style="medium">
        <color rgb="FFFFFFFF"/>
      </bottom>
      <diagonal/>
    </border>
    <border>
      <left style="medium">
        <color auto="1"/>
      </left>
      <right style="thin">
        <color auto="1"/>
      </right>
      <top/>
      <bottom style="thin">
        <color auto="1"/>
      </bottom>
      <diagonal/>
    </border>
    <border>
      <left style="medium">
        <color auto="1"/>
      </left>
      <right style="thin">
        <color auto="1"/>
      </right>
      <top style="thin">
        <color auto="1"/>
      </top>
      <bottom/>
      <diagonal/>
    </border>
    <border>
      <left/>
      <right style="thin">
        <color indexed="64"/>
      </right>
      <top style="medium">
        <color auto="1"/>
      </top>
      <bottom/>
      <diagonal/>
    </border>
  </borders>
  <cellStyleXfs count="1">
    <xf numFmtId="0" fontId="0" fillId="0" borderId="0"/>
  </cellStyleXfs>
  <cellXfs count="303">
    <xf numFmtId="0" fontId="0" fillId="0" borderId="0" xfId="0"/>
    <xf numFmtId="0" fontId="0" fillId="0" borderId="0" xfId="0" applyFill="1"/>
    <xf numFmtId="0" fontId="0" fillId="0" borderId="0" xfId="0" applyBorder="1" applyAlignment="1">
      <alignment vertical="center"/>
    </xf>
    <xf numFmtId="0" fontId="0" fillId="0" borderId="0" xfId="0" applyBorder="1" applyAlignment="1">
      <alignment horizontal="center" vertical="center"/>
    </xf>
    <xf numFmtId="0" fontId="0" fillId="0" borderId="0" xfId="0" applyAlignment="1">
      <alignment vertical="center"/>
    </xf>
    <xf numFmtId="0" fontId="0" fillId="0" borderId="0" xfId="0" applyAlignment="1">
      <alignment horizontal="center" vertical="center"/>
    </xf>
    <xf numFmtId="0" fontId="0" fillId="0" borderId="5" xfId="0" applyBorder="1" applyAlignment="1">
      <alignment horizontal="center" vertical="center"/>
    </xf>
    <xf numFmtId="0" fontId="0" fillId="0" borderId="0" xfId="0" applyAlignment="1">
      <alignment wrapText="1"/>
    </xf>
    <xf numFmtId="0" fontId="1" fillId="0" borderId="8" xfId="0" applyFont="1" applyBorder="1" applyAlignment="1">
      <alignment horizontal="center" vertical="center" wrapText="1"/>
    </xf>
    <xf numFmtId="0" fontId="1" fillId="0" borderId="5" xfId="0" applyFont="1" applyBorder="1" applyAlignment="1">
      <alignment horizontal="center" vertical="center" wrapText="1"/>
    </xf>
    <xf numFmtId="9" fontId="1" fillId="0" borderId="5" xfId="0" applyNumberFormat="1" applyFont="1" applyBorder="1" applyAlignment="1">
      <alignment horizontal="center" vertical="center" wrapText="1"/>
    </xf>
    <xf numFmtId="14" fontId="1" fillId="0" borderId="7" xfId="0" applyNumberFormat="1" applyFont="1" applyBorder="1" applyAlignment="1">
      <alignment horizontal="center" vertical="center" wrapText="1"/>
    </xf>
    <xf numFmtId="0" fontId="0" fillId="0" borderId="2" xfId="0" applyBorder="1"/>
    <xf numFmtId="0" fontId="0" fillId="0" borderId="4" xfId="0" applyBorder="1"/>
    <xf numFmtId="0" fontId="0" fillId="0" borderId="0" xfId="0" applyBorder="1" applyAlignment="1">
      <alignment horizontal="right"/>
    </xf>
    <xf numFmtId="0" fontId="0" fillId="0" borderId="0" xfId="0" applyFill="1" applyBorder="1" applyAlignment="1">
      <alignment horizontal="right"/>
    </xf>
    <xf numFmtId="0" fontId="0" fillId="0" borderId="9" xfId="0" applyBorder="1" applyAlignment="1">
      <alignment horizontal="right"/>
    </xf>
    <xf numFmtId="0" fontId="0" fillId="0" borderId="9" xfId="0" applyBorder="1"/>
    <xf numFmtId="0" fontId="0" fillId="0" borderId="0" xfId="0" applyBorder="1"/>
    <xf numFmtId="0" fontId="0" fillId="0" borderId="10" xfId="0" applyBorder="1"/>
    <xf numFmtId="0" fontId="0" fillId="0" borderId="9" xfId="0" quotePrefix="1" applyBorder="1"/>
    <xf numFmtId="0" fontId="0" fillId="0" borderId="0" xfId="0" quotePrefix="1" applyBorder="1"/>
    <xf numFmtId="0" fontId="0" fillId="0" borderId="10" xfId="0" applyBorder="1" applyAlignment="1">
      <alignment horizontal="right"/>
    </xf>
    <xf numFmtId="0" fontId="0" fillId="0" borderId="0" xfId="0" applyAlignment="1">
      <alignment horizontal="center" vertical="center" wrapText="1"/>
    </xf>
    <xf numFmtId="0" fontId="0" fillId="0" borderId="9" xfId="0" applyBorder="1" applyAlignment="1">
      <alignment vertical="center"/>
    </xf>
    <xf numFmtId="0" fontId="0" fillId="0" borderId="6" xfId="0" applyBorder="1"/>
    <xf numFmtId="9" fontId="0" fillId="0" borderId="3" xfId="0" applyNumberFormat="1" applyBorder="1" applyAlignment="1">
      <alignment horizontal="center" vertical="center"/>
    </xf>
    <xf numFmtId="0" fontId="0" fillId="0" borderId="7" xfId="0" applyBorder="1" applyAlignment="1">
      <alignment horizontal="center" vertical="center"/>
    </xf>
    <xf numFmtId="0" fontId="0" fillId="0" borderId="11" xfId="0" applyBorder="1" applyAlignment="1">
      <alignment horizontal="center" vertical="center"/>
    </xf>
    <xf numFmtId="0" fontId="0" fillId="0" borderId="12" xfId="0" applyBorder="1" applyAlignment="1">
      <alignment horizontal="center" vertical="center"/>
    </xf>
    <xf numFmtId="0" fontId="0" fillId="0" borderId="14" xfId="0" applyBorder="1" applyAlignment="1">
      <alignment horizontal="center" vertical="center"/>
    </xf>
    <xf numFmtId="0" fontId="0" fillId="0" borderId="15" xfId="0" applyBorder="1" applyAlignment="1">
      <alignment horizontal="center" vertical="center" wrapText="1"/>
    </xf>
    <xf numFmtId="0" fontId="0" fillId="0" borderId="16" xfId="0" applyBorder="1" applyAlignment="1">
      <alignment horizontal="center" vertical="center" wrapText="1"/>
    </xf>
    <xf numFmtId="0" fontId="0" fillId="0" borderId="18" xfId="0" applyBorder="1" applyAlignment="1">
      <alignment horizontal="center" vertical="center" wrapText="1"/>
    </xf>
    <xf numFmtId="0" fontId="0" fillId="0" borderId="19" xfId="0" applyBorder="1" applyAlignment="1">
      <alignment horizontal="center" vertical="center" wrapText="1"/>
    </xf>
    <xf numFmtId="0" fontId="0" fillId="0" borderId="20" xfId="0" applyBorder="1" applyAlignment="1">
      <alignment horizontal="center" vertical="center" wrapText="1"/>
    </xf>
    <xf numFmtId="0" fontId="0" fillId="0" borderId="22" xfId="0" applyBorder="1" applyAlignment="1">
      <alignment horizontal="center" vertical="center" wrapText="1"/>
    </xf>
    <xf numFmtId="0" fontId="0" fillId="0" borderId="17" xfId="0" applyBorder="1" applyAlignment="1">
      <alignment horizontal="center" vertical="center" wrapText="1"/>
    </xf>
    <xf numFmtId="0" fontId="0" fillId="0" borderId="9" xfId="0" applyBorder="1" applyAlignment="1">
      <alignment horizontal="center" vertical="center"/>
    </xf>
    <xf numFmtId="0" fontId="0" fillId="0" borderId="10" xfId="0" applyBorder="1" applyAlignment="1">
      <alignment horizontal="center" vertical="center"/>
    </xf>
    <xf numFmtId="0" fontId="0" fillId="0" borderId="1" xfId="0" quotePrefix="1" applyBorder="1" applyAlignment="1">
      <alignment horizontal="center" vertical="center"/>
    </xf>
    <xf numFmtId="1" fontId="0" fillId="0" borderId="1" xfId="0" applyNumberFormat="1" applyBorder="1" applyAlignment="1">
      <alignment horizontal="center" vertical="center"/>
    </xf>
    <xf numFmtId="0" fontId="0" fillId="0" borderId="1" xfId="0" applyBorder="1" applyAlignment="1">
      <alignment horizontal="center" vertical="center" wrapText="1"/>
    </xf>
    <xf numFmtId="0" fontId="0" fillId="0" borderId="1" xfId="0" applyBorder="1" applyAlignment="1">
      <alignment horizontal="center" vertical="center"/>
    </xf>
    <xf numFmtId="0" fontId="0" fillId="0" borderId="1" xfId="0" applyFill="1" applyBorder="1" applyAlignment="1">
      <alignment horizontal="center" vertical="center"/>
    </xf>
    <xf numFmtId="0" fontId="1" fillId="0" borderId="34" xfId="0" applyFont="1" applyBorder="1" applyAlignment="1">
      <alignment horizontal="center" vertical="center"/>
    </xf>
    <xf numFmtId="0" fontId="1" fillId="0" borderId="36" xfId="0" applyFont="1" applyFill="1" applyBorder="1" applyAlignment="1">
      <alignment horizontal="center" vertical="center"/>
    </xf>
    <xf numFmtId="0" fontId="0" fillId="0" borderId="11" xfId="0" applyFill="1" applyBorder="1" applyAlignment="1">
      <alignment horizontal="center" vertical="center"/>
    </xf>
    <xf numFmtId="0" fontId="0" fillId="0" borderId="13" xfId="0" applyBorder="1" applyAlignment="1">
      <alignment horizontal="center" vertical="center"/>
    </xf>
    <xf numFmtId="0" fontId="2" fillId="0" borderId="23" xfId="0" applyFont="1" applyBorder="1" applyAlignment="1">
      <alignment horizontal="center" vertical="center"/>
    </xf>
    <xf numFmtId="0" fontId="0" fillId="0" borderId="37" xfId="0" applyFont="1" applyFill="1" applyBorder="1" applyAlignment="1">
      <alignment horizontal="center" vertical="center"/>
    </xf>
    <xf numFmtId="0" fontId="0" fillId="0" borderId="3" xfId="0" applyFont="1" applyBorder="1" applyAlignment="1">
      <alignment horizontal="center" vertical="center" wrapText="1"/>
    </xf>
    <xf numFmtId="14" fontId="1" fillId="0" borderId="0" xfId="0" applyNumberFormat="1" applyFont="1" applyBorder="1" applyAlignment="1">
      <alignment horizontal="center" vertical="center" wrapText="1"/>
    </xf>
    <xf numFmtId="0" fontId="0" fillId="0" borderId="11" xfId="0" applyBorder="1" applyAlignment="1">
      <alignment horizontal="center" vertical="center" wrapText="1"/>
    </xf>
    <xf numFmtId="0" fontId="0" fillId="0" borderId="38" xfId="0" applyBorder="1" applyAlignment="1">
      <alignment horizontal="center" vertical="center" wrapText="1"/>
    </xf>
    <xf numFmtId="0" fontId="0" fillId="0" borderId="39" xfId="0" applyBorder="1" applyAlignment="1">
      <alignment horizontal="center" vertical="center" wrapText="1"/>
    </xf>
    <xf numFmtId="0" fontId="0" fillId="0" borderId="43" xfId="0" applyBorder="1" applyAlignment="1">
      <alignment horizontal="center" vertical="center"/>
    </xf>
    <xf numFmtId="0" fontId="0" fillId="0" borderId="18" xfId="0" applyBorder="1" applyAlignment="1">
      <alignment horizontal="center" vertical="center"/>
    </xf>
    <xf numFmtId="0" fontId="3" fillId="0" borderId="0" xfId="0" applyFont="1"/>
    <xf numFmtId="0" fontId="3" fillId="0" borderId="0" xfId="0" applyFont="1" applyAlignment="1">
      <alignment horizontal="right"/>
    </xf>
    <xf numFmtId="0" fontId="3" fillId="0" borderId="0" xfId="0" applyFont="1" applyAlignment="1">
      <alignment horizontal="center" vertical="center"/>
    </xf>
    <xf numFmtId="0" fontId="0" fillId="2" borderId="19" xfId="0" applyFill="1" applyBorder="1" applyAlignment="1">
      <alignment horizontal="center" vertical="center" wrapText="1"/>
    </xf>
    <xf numFmtId="0" fontId="0" fillId="0" borderId="21" xfId="0" applyBorder="1" applyAlignment="1">
      <alignment vertical="center" wrapText="1"/>
    </xf>
    <xf numFmtId="0" fontId="0" fillId="0" borderId="1" xfId="0" applyFont="1" applyBorder="1" applyAlignment="1">
      <alignment horizontal="center" vertical="center" wrapText="1"/>
    </xf>
    <xf numFmtId="1" fontId="0" fillId="0" borderId="1" xfId="0" applyNumberFormat="1" applyFill="1" applyBorder="1" applyAlignment="1">
      <alignment horizontal="center" vertical="center"/>
    </xf>
    <xf numFmtId="20" fontId="0" fillId="0" borderId="31" xfId="0" quotePrefix="1" applyNumberFormat="1" applyBorder="1" applyAlignment="1">
      <alignment horizontal="center" vertical="center"/>
    </xf>
    <xf numFmtId="20" fontId="0" fillId="0" borderId="31" xfId="0" applyNumberFormat="1" applyBorder="1" applyAlignment="1">
      <alignment horizontal="center" vertical="center"/>
    </xf>
    <xf numFmtId="0" fontId="0" fillId="0" borderId="31" xfId="0" applyFont="1" applyBorder="1" applyAlignment="1">
      <alignment horizontal="center" vertical="center" wrapText="1"/>
    </xf>
    <xf numFmtId="0" fontId="0" fillId="0" borderId="44" xfId="0" applyBorder="1" applyAlignment="1">
      <alignment horizontal="center" vertical="center" wrapText="1"/>
    </xf>
    <xf numFmtId="0" fontId="0" fillId="0" borderId="51" xfId="0" applyBorder="1"/>
    <xf numFmtId="0" fontId="0" fillId="0" borderId="52" xfId="0" applyBorder="1"/>
    <xf numFmtId="0" fontId="0" fillId="2" borderId="0" xfId="0" applyFill="1"/>
    <xf numFmtId="164" fontId="1" fillId="0" borderId="5" xfId="0" applyNumberFormat="1" applyFont="1" applyBorder="1" applyAlignment="1">
      <alignment horizontal="center" vertical="center" wrapText="1"/>
    </xf>
    <xf numFmtId="0" fontId="4" fillId="0" borderId="0" xfId="0" applyFont="1"/>
    <xf numFmtId="0" fontId="5" fillId="0" borderId="15" xfId="0" applyFont="1" applyBorder="1" applyAlignment="1">
      <alignment horizontal="center" vertical="center"/>
    </xf>
    <xf numFmtId="0" fontId="4" fillId="0" borderId="16" xfId="0" quotePrefix="1" applyFont="1" applyBorder="1" applyAlignment="1">
      <alignment horizontal="center" vertical="center"/>
    </xf>
    <xf numFmtId="1" fontId="4" fillId="0" borderId="16" xfId="0" applyNumberFormat="1" applyFont="1" applyBorder="1" applyAlignment="1">
      <alignment horizontal="center" vertical="center"/>
    </xf>
    <xf numFmtId="0" fontId="4" fillId="0" borderId="16" xfId="0" applyFont="1" applyBorder="1" applyAlignment="1">
      <alignment horizontal="center" vertical="center"/>
    </xf>
    <xf numFmtId="20" fontId="4" fillId="0" borderId="31" xfId="0" quotePrefix="1" applyNumberFormat="1" applyFont="1" applyBorder="1" applyAlignment="1">
      <alignment horizontal="center" vertical="center" wrapText="1"/>
    </xf>
    <xf numFmtId="0" fontId="4" fillId="0" borderId="16" xfId="0" applyFont="1" applyBorder="1" applyAlignment="1">
      <alignment horizontal="center" vertical="center" wrapText="1"/>
    </xf>
    <xf numFmtId="0" fontId="4" fillId="0" borderId="31" xfId="0" applyFont="1" applyBorder="1" applyAlignment="1">
      <alignment horizontal="center" vertical="center" wrapText="1"/>
    </xf>
    <xf numFmtId="0" fontId="4" fillId="0" borderId="16" xfId="0" applyFont="1" applyFill="1" applyBorder="1" applyAlignment="1">
      <alignment horizontal="center" vertical="center"/>
    </xf>
    <xf numFmtId="0" fontId="4" fillId="0" borderId="46" xfId="0" applyFont="1" applyFill="1" applyBorder="1" applyAlignment="1">
      <alignment horizontal="center" vertical="center"/>
    </xf>
    <xf numFmtId="0" fontId="4" fillId="0" borderId="46" xfId="0" applyFont="1" applyBorder="1" applyAlignment="1">
      <alignment horizontal="center" vertical="center"/>
    </xf>
    <xf numFmtId="0" fontId="0" fillId="0" borderId="28" xfId="0" applyBorder="1" applyAlignment="1">
      <alignment horizontal="center" vertical="center" wrapText="1"/>
    </xf>
    <xf numFmtId="0" fontId="0" fillId="0" borderId="40" xfId="0" applyBorder="1" applyAlignment="1">
      <alignment horizontal="center" vertical="center" wrapText="1"/>
    </xf>
    <xf numFmtId="0" fontId="0" fillId="0" borderId="24" xfId="0" applyBorder="1" applyAlignment="1">
      <alignment horizontal="center" vertical="center" wrapText="1"/>
    </xf>
    <xf numFmtId="0" fontId="4" fillId="0" borderId="45" xfId="0" applyFont="1" applyBorder="1" applyAlignment="1">
      <alignment horizontal="center" vertical="center" wrapText="1"/>
    </xf>
    <xf numFmtId="0" fontId="0" fillId="0" borderId="27" xfId="0" applyBorder="1" applyAlignment="1">
      <alignment horizontal="center" vertical="center"/>
    </xf>
    <xf numFmtId="0" fontId="0" fillId="0" borderId="5" xfId="0" applyBorder="1"/>
    <xf numFmtId="0" fontId="4" fillId="0" borderId="43" xfId="0" applyFont="1" applyBorder="1" applyAlignment="1">
      <alignment horizontal="center" vertical="center"/>
    </xf>
    <xf numFmtId="0" fontId="4" fillId="0" borderId="1" xfId="0" applyFont="1" applyBorder="1" applyAlignment="1">
      <alignment horizontal="center" vertical="center"/>
    </xf>
    <xf numFmtId="0" fontId="0" fillId="0" borderId="48" xfId="0" applyBorder="1" applyAlignment="1">
      <alignment horizontal="center" vertical="center" wrapText="1"/>
    </xf>
    <xf numFmtId="0" fontId="0" fillId="0" borderId="40" xfId="0" applyBorder="1" applyAlignment="1">
      <alignment horizontal="center" vertical="center" wrapText="1"/>
    </xf>
    <xf numFmtId="0" fontId="0" fillId="3" borderId="29" xfId="0" applyFill="1" applyBorder="1" applyAlignment="1">
      <alignment vertical="center" wrapText="1"/>
    </xf>
    <xf numFmtId="0" fontId="0" fillId="3" borderId="54" xfId="0" applyFill="1" applyBorder="1" applyAlignment="1">
      <alignment horizontal="center" vertical="center" wrapText="1"/>
    </xf>
    <xf numFmtId="0" fontId="0" fillId="3" borderId="22" xfId="0" applyFill="1" applyBorder="1" applyAlignment="1">
      <alignment horizontal="center" vertical="center" wrapText="1"/>
    </xf>
    <xf numFmtId="0" fontId="0" fillId="2" borderId="18" xfId="0" applyFill="1" applyBorder="1" applyAlignment="1">
      <alignment horizontal="center" vertical="center" wrapText="1"/>
    </xf>
    <xf numFmtId="0" fontId="0" fillId="0" borderId="49" xfId="0" applyBorder="1" applyAlignment="1">
      <alignment horizontal="center" vertical="center" wrapText="1"/>
    </xf>
    <xf numFmtId="0" fontId="0" fillId="0" borderId="51" xfId="0" applyBorder="1" applyAlignment="1">
      <alignment horizontal="center" vertical="center" wrapText="1"/>
    </xf>
    <xf numFmtId="0" fontId="4" fillId="0" borderId="28" xfId="0" applyFont="1" applyBorder="1" applyAlignment="1">
      <alignment horizontal="center" vertical="center"/>
    </xf>
    <xf numFmtId="0" fontId="2" fillId="0" borderId="27" xfId="0" applyFont="1" applyBorder="1" applyAlignment="1">
      <alignment horizontal="center" vertical="center"/>
    </xf>
    <xf numFmtId="0" fontId="2" fillId="0" borderId="10" xfId="0" applyFont="1" applyBorder="1" applyAlignment="1">
      <alignment horizontal="center" vertical="center"/>
    </xf>
    <xf numFmtId="0" fontId="4" fillId="3" borderId="49" xfId="0" applyFont="1" applyFill="1" applyBorder="1" applyAlignment="1">
      <alignment horizontal="center" vertical="center"/>
    </xf>
    <xf numFmtId="0" fontId="4" fillId="0" borderId="49" xfId="0" applyFont="1" applyBorder="1" applyAlignment="1">
      <alignment horizontal="center" vertical="center"/>
    </xf>
    <xf numFmtId="0" fontId="0" fillId="3" borderId="50" xfId="0" applyFill="1" applyBorder="1" applyAlignment="1">
      <alignment horizontal="center" vertical="center"/>
    </xf>
    <xf numFmtId="0" fontId="0" fillId="0" borderId="50" xfId="0" applyBorder="1" applyAlignment="1">
      <alignment horizontal="center" vertical="center"/>
    </xf>
    <xf numFmtId="0" fontId="2" fillId="0" borderId="50" xfId="0" applyFont="1" applyBorder="1" applyAlignment="1">
      <alignment horizontal="center" vertical="center"/>
    </xf>
    <xf numFmtId="0" fontId="0" fillId="3" borderId="52" xfId="0" applyFill="1" applyBorder="1" applyAlignment="1">
      <alignment horizontal="center" vertical="center"/>
    </xf>
    <xf numFmtId="0" fontId="0" fillId="0" borderId="52" xfId="0" applyBorder="1" applyAlignment="1">
      <alignment horizontal="center" vertical="center"/>
    </xf>
    <xf numFmtId="0" fontId="2" fillId="0" borderId="55" xfId="0" applyFont="1" applyBorder="1" applyAlignment="1">
      <alignment horizontal="center" vertical="center"/>
    </xf>
    <xf numFmtId="0" fontId="2" fillId="3" borderId="52" xfId="0" applyFont="1" applyFill="1" applyBorder="1" applyAlignment="1">
      <alignment horizontal="center" vertical="center"/>
    </xf>
    <xf numFmtId="0" fontId="2" fillId="0" borderId="52" xfId="0" applyFont="1" applyBorder="1" applyAlignment="1">
      <alignment horizontal="center" vertical="center"/>
    </xf>
    <xf numFmtId="0" fontId="2" fillId="0" borderId="53" xfId="0" applyFont="1" applyBorder="1" applyAlignment="1">
      <alignment horizontal="center" vertical="center"/>
    </xf>
    <xf numFmtId="0" fontId="2" fillId="0" borderId="18" xfId="0" applyFont="1" applyBorder="1" applyAlignment="1">
      <alignment horizontal="center" vertical="center"/>
    </xf>
    <xf numFmtId="0" fontId="2" fillId="0" borderId="20" xfId="0" applyFont="1" applyBorder="1" applyAlignment="1">
      <alignment horizontal="center" vertical="center"/>
    </xf>
    <xf numFmtId="0" fontId="2" fillId="0" borderId="12" xfId="0" applyFont="1" applyBorder="1" applyAlignment="1">
      <alignment horizontal="center" vertical="center"/>
    </xf>
    <xf numFmtId="0" fontId="2" fillId="0" borderId="7" xfId="0" applyFont="1" applyBorder="1" applyAlignment="1">
      <alignment horizontal="center" vertical="center"/>
    </xf>
    <xf numFmtId="0" fontId="7" fillId="0" borderId="0" xfId="0" applyFont="1" applyAlignment="1">
      <alignment horizontal="center" vertical="center"/>
    </xf>
    <xf numFmtId="0" fontId="0" fillId="0" borderId="0" xfId="0" applyAlignment="1">
      <alignment horizontal="center"/>
    </xf>
    <xf numFmtId="0" fontId="10" fillId="5" borderId="0" xfId="0" applyFont="1" applyFill="1" applyAlignment="1">
      <alignment vertical="center"/>
    </xf>
    <xf numFmtId="0" fontId="10" fillId="5" borderId="0" xfId="0" applyFont="1" applyFill="1"/>
    <xf numFmtId="0" fontId="10" fillId="5" borderId="0" xfId="0" applyFont="1" applyFill="1" applyAlignment="1">
      <alignment horizontal="center" vertical="center"/>
    </xf>
    <xf numFmtId="0" fontId="10" fillId="5" borderId="0" xfId="0" applyFont="1" applyFill="1" applyAlignment="1">
      <alignment horizontal="center" vertical="center" wrapText="1"/>
    </xf>
    <xf numFmtId="0" fontId="11" fillId="3" borderId="58" xfId="0" applyFont="1" applyFill="1" applyBorder="1" applyAlignment="1">
      <alignment horizontal="center" vertical="center" wrapText="1" readingOrder="1"/>
    </xf>
    <xf numFmtId="0" fontId="13" fillId="6" borderId="58" xfId="0" applyFont="1" applyFill="1" applyBorder="1" applyAlignment="1">
      <alignment horizontal="center" vertical="center" wrapText="1"/>
    </xf>
    <xf numFmtId="0" fontId="4" fillId="0" borderId="0" xfId="0" applyFont="1" applyAlignment="1">
      <alignment horizontal="center" vertical="center"/>
    </xf>
    <xf numFmtId="0" fontId="13" fillId="7" borderId="58" xfId="0" applyFont="1" applyFill="1" applyBorder="1" applyAlignment="1">
      <alignment horizontal="center" vertical="center" wrapText="1"/>
    </xf>
    <xf numFmtId="0" fontId="13" fillId="8" borderId="58" xfId="0" applyFont="1" applyFill="1" applyBorder="1" applyAlignment="1">
      <alignment horizontal="center" vertical="center" wrapText="1"/>
    </xf>
    <xf numFmtId="0" fontId="4" fillId="0" borderId="0" xfId="0" applyFont="1" applyAlignment="1">
      <alignment horizontal="center" vertical="center" wrapText="1"/>
    </xf>
    <xf numFmtId="0" fontId="12" fillId="0" borderId="0" xfId="0" applyFont="1" applyAlignment="1">
      <alignment horizontal="center"/>
    </xf>
    <xf numFmtId="0" fontId="14" fillId="0" borderId="0" xfId="0" applyFont="1"/>
    <xf numFmtId="0" fontId="14" fillId="0" borderId="0" xfId="0" applyFont="1" applyAlignment="1">
      <alignment horizontal="center" vertical="center"/>
    </xf>
    <xf numFmtId="0" fontId="10" fillId="5" borderId="0" xfId="0" applyFont="1" applyFill="1" applyAlignment="1">
      <alignment horizontal="center"/>
    </xf>
    <xf numFmtId="0" fontId="13" fillId="0" borderId="0" xfId="0" applyFont="1" applyAlignment="1">
      <alignment horizontal="left" vertical="center" wrapText="1" readingOrder="1"/>
    </xf>
    <xf numFmtId="0" fontId="13" fillId="0" borderId="0" xfId="0" applyFont="1" applyAlignment="1">
      <alignment horizontal="center" vertical="center" wrapText="1"/>
    </xf>
    <xf numFmtId="0" fontId="14" fillId="0" borderId="0" xfId="0" applyFont="1" applyAlignment="1">
      <alignment wrapText="1"/>
    </xf>
    <xf numFmtId="164" fontId="9" fillId="4" borderId="0" xfId="0" applyNumberFormat="1" applyFont="1" applyFill="1" applyAlignment="1">
      <alignment horizontal="left" vertical="center" wrapText="1" readingOrder="1"/>
    </xf>
    <xf numFmtId="164" fontId="9" fillId="0" borderId="0" xfId="0" applyNumberFormat="1" applyFont="1" applyAlignment="1">
      <alignment horizontal="left" vertical="center" wrapText="1" readingOrder="1"/>
    </xf>
    <xf numFmtId="0" fontId="16" fillId="9" borderId="58" xfId="0" applyFont="1" applyFill="1" applyBorder="1" applyAlignment="1">
      <alignment horizontal="center" vertical="center"/>
    </xf>
    <xf numFmtId="0" fontId="15" fillId="9" borderId="58" xfId="0" applyFont="1" applyFill="1" applyBorder="1" applyAlignment="1">
      <alignment horizontal="center" vertical="center"/>
    </xf>
    <xf numFmtId="164" fontId="9" fillId="0" borderId="0" xfId="0" applyNumberFormat="1" applyFont="1" applyFill="1" applyAlignment="1">
      <alignment horizontal="left" vertical="center" wrapText="1" readingOrder="1"/>
    </xf>
    <xf numFmtId="0" fontId="17" fillId="9" borderId="58" xfId="0" applyFont="1" applyFill="1" applyBorder="1" applyAlignment="1">
      <alignment horizontal="center" vertical="center"/>
    </xf>
    <xf numFmtId="0" fontId="7" fillId="0" borderId="0" xfId="0" applyFont="1" applyFill="1" applyAlignment="1">
      <alignment horizontal="center" vertical="center"/>
    </xf>
    <xf numFmtId="0" fontId="5" fillId="0" borderId="37" xfId="0" applyFont="1" applyBorder="1" applyAlignment="1">
      <alignment horizontal="center" vertical="center"/>
    </xf>
    <xf numFmtId="0" fontId="5" fillId="0" borderId="65" xfId="0" applyFont="1" applyBorder="1" applyAlignment="1">
      <alignment horizontal="center" vertical="center"/>
    </xf>
    <xf numFmtId="0" fontId="5" fillId="0" borderId="34" xfId="0" applyFont="1" applyBorder="1" applyAlignment="1">
      <alignment horizontal="center" vertical="center"/>
    </xf>
    <xf numFmtId="0" fontId="5" fillId="0" borderId="66" xfId="0" applyFont="1" applyBorder="1" applyAlignment="1">
      <alignment horizontal="center" vertical="center"/>
    </xf>
    <xf numFmtId="0" fontId="5" fillId="0" borderId="11" xfId="0" applyFont="1" applyBorder="1" applyAlignment="1">
      <alignment horizontal="center" vertical="center"/>
    </xf>
    <xf numFmtId="0" fontId="1" fillId="0" borderId="0" xfId="0" applyFont="1" applyAlignment="1">
      <alignment horizontal="left" wrapText="1"/>
    </xf>
    <xf numFmtId="0" fontId="1" fillId="0" borderId="0" xfId="0" applyFont="1" applyAlignment="1">
      <alignment horizontal="left"/>
    </xf>
    <xf numFmtId="0" fontId="1" fillId="0" borderId="0" xfId="0" applyFont="1"/>
    <xf numFmtId="164" fontId="9" fillId="4" borderId="0" xfId="0" applyNumberFormat="1" applyFont="1" applyFill="1" applyAlignment="1">
      <alignment horizontal="left" vertical="center" wrapText="1" readingOrder="1"/>
    </xf>
    <xf numFmtId="0" fontId="10" fillId="5" borderId="0" xfId="0" applyFont="1" applyFill="1"/>
    <xf numFmtId="0" fontId="10" fillId="5" borderId="0" xfId="0" applyFont="1" applyFill="1" applyAlignment="1">
      <alignment horizontal="center" wrapText="1"/>
    </xf>
    <xf numFmtId="0" fontId="15" fillId="9" borderId="58" xfId="0" applyFont="1" applyFill="1" applyBorder="1" applyAlignment="1">
      <alignment horizontal="center" vertical="center" wrapText="1"/>
    </xf>
    <xf numFmtId="164" fontId="9" fillId="4" borderId="0" xfId="0" applyNumberFormat="1" applyFont="1" applyFill="1" applyAlignment="1">
      <alignment horizontal="left" vertical="center" wrapText="1" readingOrder="1"/>
    </xf>
    <xf numFmtId="0" fontId="7" fillId="0" borderId="0" xfId="0" applyFont="1" applyAlignment="1">
      <alignment horizontal="center" vertical="center" wrapText="1"/>
    </xf>
    <xf numFmtId="0" fontId="0" fillId="0" borderId="0" xfId="0" applyAlignment="1">
      <alignment horizontal="center" wrapText="1"/>
    </xf>
    <xf numFmtId="0" fontId="10" fillId="5" borderId="0" xfId="0" applyFont="1" applyFill="1" applyAlignment="1">
      <alignment vertical="center" wrapText="1"/>
    </xf>
    <xf numFmtId="0" fontId="10" fillId="5" borderId="0" xfId="0" applyFont="1" applyFill="1" applyAlignment="1">
      <alignment wrapText="1"/>
    </xf>
    <xf numFmtId="0" fontId="16" fillId="9" borderId="58" xfId="0" applyFont="1" applyFill="1" applyBorder="1" applyAlignment="1">
      <alignment horizontal="center" vertical="center" wrapText="1"/>
    </xf>
    <xf numFmtId="0" fontId="12" fillId="0" borderId="0" xfId="0" applyFont="1" applyAlignment="1">
      <alignment horizontal="center" wrapText="1"/>
    </xf>
    <xf numFmtId="0" fontId="14" fillId="0" borderId="0" xfId="0" applyFont="1" applyAlignment="1">
      <alignment horizontal="center" vertical="center" wrapText="1"/>
    </xf>
    <xf numFmtId="0" fontId="17" fillId="9" borderId="58" xfId="0" applyFont="1" applyFill="1" applyBorder="1" applyAlignment="1">
      <alignment horizontal="center" vertical="center" wrapText="1"/>
    </xf>
    <xf numFmtId="1" fontId="4" fillId="0" borderId="31" xfId="0" quotePrefix="1" applyNumberFormat="1" applyFont="1" applyBorder="1" applyAlignment="1">
      <alignment horizontal="center" vertical="center" wrapText="1"/>
    </xf>
    <xf numFmtId="1" fontId="0" fillId="0" borderId="31" xfId="0" quotePrefix="1" applyNumberFormat="1" applyFont="1" applyBorder="1" applyAlignment="1">
      <alignment horizontal="center" vertical="center" wrapText="1"/>
    </xf>
    <xf numFmtId="1" fontId="0" fillId="0" borderId="31" xfId="0" quotePrefix="1" applyNumberFormat="1" applyBorder="1" applyAlignment="1">
      <alignment horizontal="center" vertical="center"/>
    </xf>
    <xf numFmtId="1" fontId="0" fillId="0" borderId="1" xfId="0" quotePrefix="1" applyNumberFormat="1" applyFill="1" applyBorder="1" applyAlignment="1">
      <alignment horizontal="center" vertical="center"/>
    </xf>
    <xf numFmtId="1" fontId="0" fillId="0" borderId="1" xfId="0" quotePrefix="1" applyNumberFormat="1" applyBorder="1" applyAlignment="1">
      <alignment horizontal="center" vertical="center"/>
    </xf>
    <xf numFmtId="1" fontId="0" fillId="0" borderId="45" xfId="0" quotePrefix="1" applyNumberFormat="1" applyBorder="1" applyAlignment="1">
      <alignment horizontal="center" vertical="center"/>
    </xf>
    <xf numFmtId="0" fontId="1" fillId="0" borderId="34" xfId="0" applyFont="1" applyFill="1" applyBorder="1" applyAlignment="1">
      <alignment horizontal="center" vertical="center"/>
    </xf>
    <xf numFmtId="0" fontId="0" fillId="0" borderId="1" xfId="0" quotePrefix="1" applyFill="1" applyBorder="1" applyAlignment="1">
      <alignment horizontal="center" vertical="center"/>
    </xf>
    <xf numFmtId="0" fontId="0" fillId="0" borderId="1" xfId="0" applyFont="1" applyFill="1" applyBorder="1" applyAlignment="1">
      <alignment horizontal="center" vertical="center" wrapText="1"/>
    </xf>
    <xf numFmtId="0" fontId="4" fillId="0" borderId="1" xfId="0" applyFont="1" applyFill="1" applyBorder="1" applyAlignment="1">
      <alignment horizontal="center" vertical="center"/>
    </xf>
    <xf numFmtId="1" fontId="0" fillId="0" borderId="40" xfId="0" quotePrefix="1" applyNumberFormat="1" applyFont="1" applyFill="1" applyBorder="1" applyAlignment="1">
      <alignment horizontal="center" vertical="center"/>
    </xf>
    <xf numFmtId="20" fontId="0" fillId="0" borderId="31" xfId="0" quotePrefix="1" applyNumberFormat="1" applyFill="1" applyBorder="1" applyAlignment="1">
      <alignment horizontal="center" vertical="center"/>
    </xf>
    <xf numFmtId="0" fontId="0" fillId="0" borderId="1" xfId="0" applyFill="1" applyBorder="1" applyAlignment="1">
      <alignment horizontal="center" vertical="center" wrapText="1"/>
    </xf>
    <xf numFmtId="0" fontId="4" fillId="0" borderId="45" xfId="0" applyFont="1" applyFill="1" applyBorder="1" applyAlignment="1">
      <alignment horizontal="center" vertical="center" wrapText="1"/>
    </xf>
    <xf numFmtId="0" fontId="0" fillId="0" borderId="31" xfId="0" applyFont="1" applyFill="1" applyBorder="1" applyAlignment="1">
      <alignment horizontal="center" vertical="center" wrapText="1"/>
    </xf>
    <xf numFmtId="0" fontId="0" fillId="0" borderId="50" xfId="0" applyFill="1" applyBorder="1" applyAlignment="1">
      <alignment horizontal="center" vertical="center"/>
    </xf>
    <xf numFmtId="0" fontId="2" fillId="0" borderId="50" xfId="0" applyFont="1" applyFill="1" applyBorder="1" applyAlignment="1">
      <alignment horizontal="center" vertical="center"/>
    </xf>
    <xf numFmtId="1" fontId="0" fillId="0" borderId="1" xfId="0" quotePrefix="1" applyNumberFormat="1" applyFont="1" applyFill="1" applyBorder="1" applyAlignment="1">
      <alignment horizontal="center" vertical="center" wrapText="1"/>
    </xf>
    <xf numFmtId="20" fontId="0" fillId="0" borderId="31" xfId="0" applyNumberFormat="1" applyFill="1" applyBorder="1" applyAlignment="1">
      <alignment horizontal="center" vertical="center"/>
    </xf>
    <xf numFmtId="0" fontId="19" fillId="7" borderId="58" xfId="0" applyFont="1" applyFill="1" applyBorder="1" applyAlignment="1">
      <alignment horizontal="center" vertical="center" wrapText="1"/>
    </xf>
    <xf numFmtId="0" fontId="4" fillId="0" borderId="31" xfId="0" applyFont="1" applyBorder="1" applyAlignment="1">
      <alignment horizontal="center" vertical="center"/>
    </xf>
    <xf numFmtId="0" fontId="5" fillId="0" borderId="34" xfId="0" applyFont="1" applyFill="1" applyBorder="1" applyAlignment="1">
      <alignment horizontal="center" vertical="center"/>
    </xf>
    <xf numFmtId="0" fontId="4" fillId="0" borderId="31" xfId="0" applyFont="1" applyFill="1" applyBorder="1" applyAlignment="1">
      <alignment horizontal="center" vertical="center"/>
    </xf>
    <xf numFmtId="0" fontId="4" fillId="0" borderId="49" xfId="0" applyFont="1" applyBorder="1" applyAlignment="1">
      <alignment horizontal="left" vertical="center" wrapText="1"/>
    </xf>
    <xf numFmtId="0" fontId="0" fillId="0" borderId="50" xfId="0" applyBorder="1" applyAlignment="1">
      <alignment horizontal="left" vertical="center" wrapText="1"/>
    </xf>
    <xf numFmtId="0" fontId="0" fillId="0" borderId="50" xfId="0" applyFill="1" applyBorder="1" applyAlignment="1">
      <alignment horizontal="left" vertical="center" wrapText="1"/>
    </xf>
    <xf numFmtId="0" fontId="0" fillId="0" borderId="47" xfId="0" applyBorder="1" applyAlignment="1">
      <alignment horizontal="center" vertical="center" wrapText="1"/>
    </xf>
    <xf numFmtId="0" fontId="0" fillId="0" borderId="48" xfId="0" applyBorder="1" applyAlignment="1">
      <alignment horizontal="center" vertical="center" wrapText="1"/>
    </xf>
    <xf numFmtId="0" fontId="0" fillId="2" borderId="31" xfId="0" applyFill="1" applyBorder="1" applyAlignment="1">
      <alignment horizontal="center" vertical="center" wrapText="1"/>
    </xf>
    <xf numFmtId="0" fontId="0" fillId="2" borderId="33" xfId="0" applyFill="1" applyBorder="1" applyAlignment="1">
      <alignment horizontal="center" vertical="center" wrapText="1"/>
    </xf>
    <xf numFmtId="0" fontId="0" fillId="0" borderId="9" xfId="0" applyBorder="1" applyAlignment="1">
      <alignment horizontal="center" vertical="center" wrapText="1"/>
    </xf>
    <xf numFmtId="0" fontId="0" fillId="0" borderId="3" xfId="0" applyBorder="1" applyAlignment="1">
      <alignment horizontal="center" vertical="center" wrapText="1"/>
    </xf>
    <xf numFmtId="0" fontId="0" fillId="0" borderId="0" xfId="0" applyBorder="1" applyAlignment="1">
      <alignment horizontal="center" vertical="center" wrapText="1"/>
    </xf>
    <xf numFmtId="0" fontId="0" fillId="0" borderId="5" xfId="0" applyBorder="1" applyAlignment="1">
      <alignment horizontal="center" vertical="center" wrapText="1"/>
    </xf>
    <xf numFmtId="0" fontId="0" fillId="0" borderId="10" xfId="0" applyBorder="1" applyAlignment="1">
      <alignment horizontal="center" vertical="center" wrapText="1"/>
    </xf>
    <xf numFmtId="0" fontId="0" fillId="0" borderId="7" xfId="0" applyBorder="1" applyAlignment="1">
      <alignment horizontal="center" vertical="center" wrapText="1"/>
    </xf>
    <xf numFmtId="0" fontId="4" fillId="0" borderId="29" xfId="0" applyFont="1" applyBorder="1" applyAlignment="1">
      <alignment horizontal="left" vertical="center" wrapText="1"/>
    </xf>
    <xf numFmtId="0" fontId="4" fillId="0" borderId="30" xfId="0" applyFont="1" applyBorder="1" applyAlignment="1">
      <alignment horizontal="left" vertical="center" wrapText="1"/>
    </xf>
    <xf numFmtId="0" fontId="0" fillId="0" borderId="32" xfId="0" applyBorder="1" applyAlignment="1">
      <alignment horizontal="left" vertical="center" wrapText="1"/>
    </xf>
    <xf numFmtId="0" fontId="0" fillId="0" borderId="33" xfId="0" applyBorder="1" applyAlignment="1">
      <alignment horizontal="left" vertical="center" wrapText="1"/>
    </xf>
    <xf numFmtId="0" fontId="0" fillId="2" borderId="41" xfId="0" applyFill="1" applyBorder="1" applyAlignment="1">
      <alignment horizontal="center" vertical="center" wrapText="1"/>
    </xf>
    <xf numFmtId="0" fontId="0" fillId="2" borderId="35" xfId="0" applyFill="1" applyBorder="1" applyAlignment="1">
      <alignment horizontal="center" vertical="center" wrapText="1"/>
    </xf>
    <xf numFmtId="0" fontId="0" fillId="0" borderId="28" xfId="0" applyBorder="1" applyAlignment="1">
      <alignment horizontal="center" vertical="center" wrapText="1"/>
    </xf>
    <xf numFmtId="0" fontId="0" fillId="0" borderId="29" xfId="0" applyBorder="1" applyAlignment="1">
      <alignment horizontal="center" vertical="center" wrapText="1"/>
    </xf>
    <xf numFmtId="0" fontId="0" fillId="0" borderId="21" xfId="0" applyBorder="1" applyAlignment="1">
      <alignment horizontal="center" vertical="center" wrapText="1"/>
    </xf>
    <xf numFmtId="0" fontId="0" fillId="0" borderId="42" xfId="0" applyBorder="1" applyAlignment="1">
      <alignment horizontal="center" vertical="center" wrapText="1"/>
    </xf>
    <xf numFmtId="0" fontId="0" fillId="0" borderId="30" xfId="0" applyBorder="1" applyAlignment="1">
      <alignment horizontal="center" vertical="center" wrapText="1"/>
    </xf>
    <xf numFmtId="0" fontId="0" fillId="2" borderId="42" xfId="0" applyFill="1" applyBorder="1" applyAlignment="1">
      <alignment horizontal="center" vertical="center" wrapText="1"/>
    </xf>
    <xf numFmtId="0" fontId="0" fillId="2" borderId="30" xfId="0" applyFill="1" applyBorder="1" applyAlignment="1">
      <alignment horizontal="center" vertical="center" wrapText="1"/>
    </xf>
    <xf numFmtId="0" fontId="0" fillId="0" borderId="32" xfId="0" applyFill="1" applyBorder="1" applyAlignment="1">
      <alignment horizontal="left" vertical="center" wrapText="1"/>
    </xf>
    <xf numFmtId="0" fontId="0" fillId="0" borderId="33" xfId="0" applyFill="1" applyBorder="1" applyAlignment="1">
      <alignment horizontal="left" vertical="center" wrapText="1"/>
    </xf>
    <xf numFmtId="0" fontId="0" fillId="0" borderId="2" xfId="0" applyBorder="1" applyAlignment="1">
      <alignment horizontal="left" vertical="top" wrapText="1"/>
    </xf>
    <xf numFmtId="0" fontId="0" fillId="0" borderId="9" xfId="0" applyBorder="1" applyAlignment="1">
      <alignment horizontal="left" vertical="top" wrapText="1"/>
    </xf>
    <xf numFmtId="0" fontId="0" fillId="0" borderId="67" xfId="0" applyBorder="1" applyAlignment="1">
      <alignment horizontal="left" vertical="top" wrapText="1"/>
    </xf>
    <xf numFmtId="0" fontId="0" fillId="0" borderId="4" xfId="0" applyBorder="1" applyAlignment="1">
      <alignment horizontal="left" vertical="top" wrapText="1"/>
    </xf>
    <xf numFmtId="0" fontId="0" fillId="0" borderId="0" xfId="0" applyBorder="1" applyAlignment="1">
      <alignment horizontal="left" vertical="top" wrapText="1"/>
    </xf>
    <xf numFmtId="0" fontId="0" fillId="0" borderId="54" xfId="0" applyBorder="1" applyAlignment="1">
      <alignment horizontal="left" vertical="top" wrapText="1"/>
    </xf>
    <xf numFmtId="0" fontId="0" fillId="0" borderId="6" xfId="0" applyBorder="1" applyAlignment="1">
      <alignment horizontal="left" vertical="top" wrapText="1"/>
    </xf>
    <xf numFmtId="0" fontId="0" fillId="0" borderId="10" xfId="0" applyBorder="1" applyAlignment="1">
      <alignment horizontal="left" vertical="top" wrapText="1"/>
    </xf>
    <xf numFmtId="0" fontId="0" fillId="0" borderId="23" xfId="0" applyBorder="1" applyAlignment="1">
      <alignment horizontal="left" vertical="top" wrapText="1"/>
    </xf>
    <xf numFmtId="0" fontId="0" fillId="0" borderId="25" xfId="0" applyBorder="1" applyAlignment="1">
      <alignment horizontal="left"/>
    </xf>
    <xf numFmtId="0" fontId="0" fillId="0" borderId="26" xfId="0" applyBorder="1" applyAlignment="1">
      <alignment horizontal="left"/>
    </xf>
    <xf numFmtId="0" fontId="0" fillId="0" borderId="31" xfId="0" applyBorder="1" applyAlignment="1">
      <alignment horizontal="center" vertical="center" wrapText="1"/>
    </xf>
    <xf numFmtId="0" fontId="0" fillId="0" borderId="32" xfId="0" applyBorder="1" applyAlignment="1">
      <alignment horizontal="center" vertical="center" wrapText="1"/>
    </xf>
    <xf numFmtId="0" fontId="0" fillId="0" borderId="41" xfId="0" applyBorder="1" applyAlignment="1">
      <alignment horizontal="center" vertical="center" wrapText="1"/>
    </xf>
    <xf numFmtId="0" fontId="0" fillId="0" borderId="35" xfId="0" applyBorder="1" applyAlignment="1">
      <alignment horizontal="center" vertical="center" wrapText="1"/>
    </xf>
    <xf numFmtId="0" fontId="0" fillId="0" borderId="33" xfId="0" applyBorder="1" applyAlignment="1">
      <alignment horizontal="center" vertical="center" wrapText="1"/>
    </xf>
    <xf numFmtId="0" fontId="11" fillId="8" borderId="0" xfId="0" applyFont="1" applyFill="1" applyAlignment="1">
      <alignment horizontal="left" vertical="center" wrapText="1" readingOrder="1"/>
    </xf>
    <xf numFmtId="0" fontId="11" fillId="8" borderId="59" xfId="0" applyFont="1" applyFill="1" applyBorder="1" applyAlignment="1">
      <alignment horizontal="left" vertical="center" wrapText="1" readingOrder="1"/>
    </xf>
    <xf numFmtId="0" fontId="13" fillId="6" borderId="56" xfId="0" applyFont="1" applyFill="1" applyBorder="1" applyAlignment="1">
      <alignment horizontal="left" vertical="center" wrapText="1" readingOrder="1"/>
    </xf>
    <xf numFmtId="0" fontId="13" fillId="6" borderId="57" xfId="0" applyFont="1" applyFill="1" applyBorder="1" applyAlignment="1">
      <alignment horizontal="left" vertical="center" wrapText="1" readingOrder="1"/>
    </xf>
    <xf numFmtId="0" fontId="13" fillId="7" borderId="0" xfId="0" applyFont="1" applyFill="1" applyAlignment="1">
      <alignment horizontal="left" vertical="center" wrapText="1" readingOrder="1"/>
    </xf>
    <xf numFmtId="0" fontId="13" fillId="7" borderId="59" xfId="0" applyFont="1" applyFill="1" applyBorder="1" applyAlignment="1">
      <alignment horizontal="left" vertical="center" wrapText="1" readingOrder="1"/>
    </xf>
    <xf numFmtId="0" fontId="13" fillId="8" borderId="0" xfId="0" applyFont="1" applyFill="1" applyAlignment="1">
      <alignment horizontal="left" vertical="center" wrapText="1" readingOrder="1"/>
    </xf>
    <xf numFmtId="0" fontId="13" fillId="8" borderId="59" xfId="0" applyFont="1" applyFill="1" applyBorder="1" applyAlignment="1">
      <alignment horizontal="left" vertical="center" wrapText="1" readingOrder="1"/>
    </xf>
    <xf numFmtId="0" fontId="15" fillId="9" borderId="0" xfId="0" applyFont="1" applyFill="1" applyAlignment="1">
      <alignment vertical="center" wrapText="1" readingOrder="1"/>
    </xf>
    <xf numFmtId="0" fontId="15" fillId="9" borderId="59" xfId="0" applyFont="1" applyFill="1" applyBorder="1" applyAlignment="1">
      <alignment vertical="center" wrapText="1" readingOrder="1"/>
    </xf>
    <xf numFmtId="0" fontId="10" fillId="5" borderId="60" xfId="0" applyFont="1" applyFill="1" applyBorder="1" applyAlignment="1">
      <alignment horizontal="left"/>
    </xf>
    <xf numFmtId="0" fontId="13" fillId="6" borderId="0" xfId="0" applyFont="1" applyFill="1" applyAlignment="1">
      <alignment horizontal="left" vertical="center" wrapText="1" readingOrder="1"/>
    </xf>
    <xf numFmtId="0" fontId="13" fillId="6" borderId="59" xfId="0" applyFont="1" applyFill="1" applyBorder="1" applyAlignment="1">
      <alignment horizontal="left" vertical="center" wrapText="1" readingOrder="1"/>
    </xf>
    <xf numFmtId="0" fontId="12" fillId="9" borderId="59" xfId="0" applyFont="1" applyFill="1" applyBorder="1" applyAlignment="1">
      <alignment vertical="center" wrapText="1" readingOrder="1"/>
    </xf>
    <xf numFmtId="0" fontId="13" fillId="8" borderId="64" xfId="0" applyFont="1" applyFill="1" applyBorder="1" applyAlignment="1">
      <alignment horizontal="left" vertical="center" wrapText="1" readingOrder="1"/>
    </xf>
    <xf numFmtId="0" fontId="13" fillId="8" borderId="61" xfId="0" applyFont="1" applyFill="1" applyBorder="1" applyAlignment="1">
      <alignment horizontal="left" vertical="center" wrapText="1" readingOrder="1"/>
    </xf>
    <xf numFmtId="0" fontId="13" fillId="7" borderId="63" xfId="0" applyFont="1" applyFill="1" applyBorder="1" applyAlignment="1">
      <alignment horizontal="left" vertical="center" wrapText="1" readingOrder="1"/>
    </xf>
    <xf numFmtId="0" fontId="15" fillId="9" borderId="56" xfId="0" applyFont="1" applyFill="1" applyBorder="1" applyAlignment="1">
      <alignment horizontal="left" vertical="center" wrapText="1" readingOrder="1"/>
    </xf>
    <xf numFmtId="0" fontId="15" fillId="9" borderId="57" xfId="0" applyFont="1" applyFill="1" applyBorder="1" applyAlignment="1">
      <alignment horizontal="left" vertical="center" wrapText="1" readingOrder="1"/>
    </xf>
    <xf numFmtId="0" fontId="13" fillId="6" borderId="63" xfId="0" applyFont="1" applyFill="1" applyBorder="1" applyAlignment="1">
      <alignment horizontal="left" vertical="center" wrapText="1" readingOrder="1"/>
    </xf>
    <xf numFmtId="0" fontId="15" fillId="9" borderId="0" xfId="0" applyFont="1" applyFill="1" applyAlignment="1">
      <alignment horizontal="left" vertical="center" wrapText="1" readingOrder="1"/>
    </xf>
    <xf numFmtId="0" fontId="15" fillId="9" borderId="59" xfId="0" applyFont="1" applyFill="1" applyBorder="1" applyAlignment="1">
      <alignment horizontal="left" vertical="center" wrapText="1" readingOrder="1"/>
    </xf>
    <xf numFmtId="0" fontId="13" fillId="3" borderId="56" xfId="0" applyFont="1" applyFill="1" applyBorder="1" applyAlignment="1">
      <alignment horizontal="left" vertical="center" wrapText="1" readingOrder="1"/>
    </xf>
    <xf numFmtId="0" fontId="13" fillId="3" borderId="57" xfId="0" applyFont="1" applyFill="1" applyBorder="1" applyAlignment="1">
      <alignment horizontal="left" vertical="center" wrapText="1" readingOrder="1"/>
    </xf>
    <xf numFmtId="164" fontId="9" fillId="4" borderId="0" xfId="0" applyNumberFormat="1" applyFont="1" applyFill="1" applyAlignment="1">
      <alignment horizontal="left" vertical="center" wrapText="1" readingOrder="1"/>
    </xf>
    <xf numFmtId="0" fontId="13" fillId="7" borderId="0" xfId="0" quotePrefix="1" applyFont="1" applyFill="1" applyAlignment="1">
      <alignment horizontal="left" vertical="center" wrapText="1" readingOrder="1"/>
    </xf>
    <xf numFmtId="0" fontId="13" fillId="7" borderId="59" xfId="0" quotePrefix="1" applyFont="1" applyFill="1" applyBorder="1" applyAlignment="1">
      <alignment horizontal="left" vertical="center" wrapText="1" readingOrder="1"/>
    </xf>
    <xf numFmtId="0" fontId="13" fillId="8" borderId="0" xfId="0" quotePrefix="1" applyFont="1" applyFill="1" applyAlignment="1">
      <alignment horizontal="left" vertical="center" wrapText="1" readingOrder="1"/>
    </xf>
    <xf numFmtId="0" fontId="13" fillId="8" borderId="59" xfId="0" quotePrefix="1" applyFont="1" applyFill="1" applyBorder="1" applyAlignment="1">
      <alignment horizontal="left" vertical="center" wrapText="1" readingOrder="1"/>
    </xf>
    <xf numFmtId="0" fontId="8" fillId="0" borderId="0" xfId="0" applyFont="1" applyAlignment="1">
      <alignment horizontal="center" vertical="center"/>
    </xf>
    <xf numFmtId="164" fontId="9" fillId="4" borderId="0" xfId="0" applyNumberFormat="1" applyFont="1" applyFill="1" applyAlignment="1">
      <alignment horizontal="center" vertical="center" wrapText="1" readingOrder="1"/>
    </xf>
    <xf numFmtId="0" fontId="15" fillId="9" borderId="60" xfId="0" applyFont="1" applyFill="1" applyBorder="1" applyAlignment="1">
      <alignment vertical="center" wrapText="1" readingOrder="1"/>
    </xf>
    <xf numFmtId="0" fontId="12" fillId="9" borderId="61" xfId="0" applyFont="1" applyFill="1" applyBorder="1" applyAlignment="1">
      <alignment vertical="center" wrapText="1" readingOrder="1"/>
    </xf>
    <xf numFmtId="0" fontId="11" fillId="6" borderId="0" xfId="0" applyFont="1" applyFill="1" applyAlignment="1">
      <alignment horizontal="left" vertical="center" wrapText="1" readingOrder="1"/>
    </xf>
    <xf numFmtId="0" fontId="11" fillId="6" borderId="59" xfId="0" applyFont="1" applyFill="1" applyBorder="1" applyAlignment="1">
      <alignment horizontal="left" vertical="center" wrapText="1" readingOrder="1"/>
    </xf>
    <xf numFmtId="0" fontId="11" fillId="3" borderId="56" xfId="0" applyFont="1" applyFill="1" applyBorder="1" applyAlignment="1">
      <alignment horizontal="left" vertical="center" wrapText="1" readingOrder="1"/>
    </xf>
    <xf numFmtId="0" fontId="11" fillId="3" borderId="57" xfId="0" applyFont="1" applyFill="1" applyBorder="1" applyAlignment="1">
      <alignment horizontal="left" vertical="center" wrapText="1" readingOrder="1"/>
    </xf>
    <xf numFmtId="0" fontId="11" fillId="7" borderId="0" xfId="0" applyFont="1" applyFill="1" applyAlignment="1">
      <alignment horizontal="left" vertical="center" wrapText="1" readingOrder="1"/>
    </xf>
    <xf numFmtId="0" fontId="11" fillId="7" borderId="59" xfId="0" applyFont="1" applyFill="1" applyBorder="1" applyAlignment="1">
      <alignment horizontal="left" vertical="center" wrapText="1" readingOrder="1"/>
    </xf>
    <xf numFmtId="0" fontId="10" fillId="5" borderId="60" xfId="0" applyFont="1" applyFill="1" applyBorder="1"/>
    <xf numFmtId="0" fontId="18" fillId="9" borderId="63" xfId="0" applyFont="1" applyFill="1" applyBorder="1" applyAlignment="1">
      <alignment vertical="center" wrapText="1" readingOrder="1"/>
    </xf>
    <xf numFmtId="0" fontId="18" fillId="9" borderId="59" xfId="0" applyFont="1" applyFill="1" applyBorder="1" applyAlignment="1">
      <alignment vertical="center" wrapText="1" readingOrder="1"/>
    </xf>
    <xf numFmtId="0" fontId="10" fillId="5" borderId="0" xfId="0" applyFont="1" applyFill="1"/>
    <xf numFmtId="0" fontId="20" fillId="6" borderId="62" xfId="0" applyFont="1" applyFill="1" applyBorder="1" applyAlignment="1">
      <alignment horizontal="left" vertical="center" wrapText="1" readingOrder="1"/>
    </xf>
    <xf numFmtId="0" fontId="19" fillId="6" borderId="57" xfId="0" applyFont="1" applyFill="1" applyBorder="1" applyAlignment="1">
      <alignment horizontal="left" vertical="center" wrapText="1" readingOrder="1"/>
    </xf>
    <xf numFmtId="0" fontId="19" fillId="7" borderId="63" xfId="0" applyFont="1" applyFill="1" applyBorder="1" applyAlignment="1">
      <alignment horizontal="left" vertical="center" wrapText="1" readingOrder="1"/>
    </xf>
    <xf numFmtId="0" fontId="19" fillId="7" borderId="59" xfId="0" applyFont="1" applyFill="1" applyBorder="1" applyAlignment="1">
      <alignment horizontal="left" vertical="center" wrapText="1" readingOrder="1"/>
    </xf>
    <xf numFmtId="0" fontId="11" fillId="3" borderId="0" xfId="0" applyFont="1" applyFill="1" applyAlignment="1">
      <alignment horizontal="left" vertical="top" wrapText="1" readingOrder="1"/>
    </xf>
    <xf numFmtId="0" fontId="11" fillId="3" borderId="59" xfId="0" applyFont="1" applyFill="1" applyBorder="1" applyAlignment="1">
      <alignment horizontal="left" vertical="top" wrapText="1" readingOrder="1"/>
    </xf>
    <xf numFmtId="0" fontId="13" fillId="6" borderId="62" xfId="0" applyFont="1" applyFill="1" applyBorder="1" applyAlignment="1">
      <alignment horizontal="left" vertical="center" wrapText="1" readingOrder="1"/>
    </xf>
    <xf numFmtId="0" fontId="13" fillId="6" borderId="56" xfId="0" quotePrefix="1" applyFont="1" applyFill="1" applyBorder="1" applyAlignment="1">
      <alignment vertical="center" wrapText="1" readingOrder="1"/>
    </xf>
    <xf numFmtId="0" fontId="13" fillId="6" borderId="57" xfId="0" applyFont="1" applyFill="1" applyBorder="1" applyAlignment="1">
      <alignment vertical="center" wrapText="1" readingOrder="1"/>
    </xf>
    <xf numFmtId="0" fontId="19" fillId="7" borderId="0" xfId="0" applyFont="1" applyFill="1" applyAlignment="1">
      <alignment horizontal="left" vertical="center" wrapText="1" readingOrder="1"/>
    </xf>
    <xf numFmtId="0" fontId="12" fillId="0" borderId="56" xfId="0" applyFont="1" applyBorder="1" applyAlignment="1">
      <alignment horizontal="left" wrapText="1"/>
    </xf>
    <xf numFmtId="0" fontId="13" fillId="7" borderId="0" xfId="0" applyFont="1" applyFill="1" applyBorder="1" applyAlignment="1">
      <alignment horizontal="left" vertical="center" wrapText="1" readingOrder="1"/>
    </xf>
    <xf numFmtId="0" fontId="13" fillId="8" borderId="0" xfId="0" applyFont="1" applyFill="1" applyBorder="1" applyAlignment="1">
      <alignment horizontal="left" vertical="center" wrapText="1" readingOrder="1"/>
    </xf>
    <xf numFmtId="164" fontId="9" fillId="4" borderId="60" xfId="0" applyNumberFormat="1" applyFont="1" applyFill="1" applyBorder="1" applyAlignment="1">
      <alignment horizontal="left" vertical="center" wrapText="1" readingOrder="1"/>
    </xf>
    <xf numFmtId="0" fontId="13" fillId="6" borderId="0" xfId="0" quotePrefix="1" applyFont="1" applyFill="1" applyAlignment="1">
      <alignment horizontal="left" vertical="center" wrapText="1" readingOrder="1"/>
    </xf>
    <xf numFmtId="0" fontId="13" fillId="3" borderId="56" xfId="0" quotePrefix="1" applyFont="1" applyFill="1" applyBorder="1" applyAlignment="1">
      <alignment horizontal="left" vertical="center" wrapText="1" readingOrder="1"/>
    </xf>
    <xf numFmtId="0" fontId="13" fillId="3" borderId="57" xfId="0" quotePrefix="1" applyFont="1" applyFill="1" applyBorder="1" applyAlignment="1">
      <alignment horizontal="left" vertical="center" wrapText="1" readingOrder="1"/>
    </xf>
    <xf numFmtId="0" fontId="15" fillId="9" borderId="64" xfId="0" applyFont="1" applyFill="1" applyBorder="1" applyAlignment="1">
      <alignment vertical="center" wrapText="1" readingOrder="1"/>
    </xf>
    <xf numFmtId="0" fontId="15" fillId="9" borderId="61" xfId="0" applyFont="1" applyFill="1" applyBorder="1" applyAlignment="1">
      <alignment vertical="center" wrapText="1" readingOrder="1"/>
    </xf>
    <xf numFmtId="0" fontId="10" fillId="5" borderId="60" xfId="0" applyFont="1" applyFill="1" applyBorder="1" applyAlignment="1">
      <alignment horizontal="left" wrapText="1"/>
    </xf>
    <xf numFmtId="0" fontId="10" fillId="5" borderId="60" xfId="0" applyFont="1" applyFill="1" applyBorder="1" applyAlignment="1">
      <alignment wrapText="1"/>
    </xf>
    <xf numFmtId="0" fontId="13" fillId="6" borderId="57" xfId="0" quotePrefix="1" applyFont="1" applyFill="1" applyBorder="1" applyAlignment="1">
      <alignment vertical="center" wrapText="1" readingOrder="1"/>
    </xf>
    <xf numFmtId="0" fontId="10" fillId="5" borderId="0" xfId="0" applyFont="1" applyFill="1" applyAlignment="1">
      <alignment wrapText="1"/>
    </xf>
    <xf numFmtId="0" fontId="8" fillId="0" borderId="0" xfId="0" applyFont="1" applyAlignment="1">
      <alignment horizontal="center" vertical="center" wrapText="1"/>
    </xf>
    <xf numFmtId="0" fontId="1" fillId="0" borderId="5" xfId="0" applyFont="1" applyBorder="1" applyAlignment="1">
      <alignment horizontal="center" vertical="center"/>
    </xf>
    <xf numFmtId="14" fontId="1" fillId="0" borderId="5" xfId="0" applyNumberFormat="1" applyFont="1" applyBorder="1" applyAlignment="1">
      <alignment horizontal="center" vertical="center"/>
    </xf>
    <xf numFmtId="0" fontId="1" fillId="0" borderId="9" xfId="0" applyFont="1" applyBorder="1" applyAlignment="1">
      <alignment horizontal="right"/>
    </xf>
    <xf numFmtId="0" fontId="1" fillId="0" borderId="0" xfId="0" applyFont="1" applyBorder="1" applyAlignment="1">
      <alignment horizontal="righ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30421A-1D13-4F74-924C-ED144EEED11F}">
  <sheetPr codeName="Sheet1"/>
  <dimension ref="A1:BL67"/>
  <sheetViews>
    <sheetView tabSelected="1" zoomScale="70" zoomScaleNormal="70" workbookViewId="0">
      <selection activeCell="AL2" sqref="AL2"/>
    </sheetView>
  </sheetViews>
  <sheetFormatPr defaultColWidth="9.140625" defaultRowHeight="15" outlineLevelCol="1"/>
  <cols>
    <col min="1" max="1" width="4.42578125" customWidth="1"/>
    <col min="2" max="2" width="11.140625" bestFit="1" customWidth="1"/>
    <col min="3" max="3" width="19.42578125" style="7" customWidth="1"/>
    <col min="4" max="4" width="14.7109375" style="7" customWidth="1"/>
    <col min="5" max="5" width="9.140625" customWidth="1"/>
    <col min="6" max="6" width="13.7109375" hidden="1" customWidth="1"/>
    <col min="7" max="7" width="15.7109375" customWidth="1"/>
    <col min="8" max="8" width="13.42578125" customWidth="1"/>
    <col min="9" max="9" width="13.7109375" hidden="1" customWidth="1"/>
    <col min="10" max="10" width="18.140625" customWidth="1"/>
    <col min="11" max="11" width="13.7109375" hidden="1" customWidth="1"/>
    <col min="12" max="12" width="7.140625" customWidth="1"/>
    <col min="13" max="13" width="9" customWidth="1" outlineLevel="1"/>
    <col min="14" max="14" width="5.7109375" bestFit="1" customWidth="1"/>
    <col min="15" max="15" width="8.5703125" bestFit="1" customWidth="1" outlineLevel="1"/>
    <col min="16" max="16" width="5.7109375" bestFit="1" customWidth="1"/>
    <col min="17" max="17" width="8.5703125" bestFit="1" customWidth="1" outlineLevel="1"/>
    <col min="18" max="18" width="5.7109375" bestFit="1" customWidth="1"/>
    <col min="19" max="19" width="8.5703125" bestFit="1" customWidth="1" outlineLevel="1"/>
    <col min="20" max="20" width="5.7109375" bestFit="1" customWidth="1"/>
    <col min="21" max="21" width="8.5703125" bestFit="1" customWidth="1" outlineLevel="1"/>
    <col min="22" max="22" width="5.7109375" bestFit="1" customWidth="1"/>
    <col min="23" max="23" width="8.5703125" bestFit="1" customWidth="1" outlineLevel="1"/>
    <col min="24" max="24" width="5.7109375" bestFit="1" customWidth="1"/>
    <col min="25" max="25" width="8.5703125" bestFit="1" customWidth="1" outlineLevel="1"/>
    <col min="26" max="26" width="5.7109375" bestFit="1" customWidth="1"/>
    <col min="27" max="27" width="8.5703125" bestFit="1" customWidth="1" outlineLevel="1"/>
    <col min="28" max="28" width="5.7109375" bestFit="1" customWidth="1"/>
    <col min="29" max="29" width="8.5703125" bestFit="1" customWidth="1" outlineLevel="1"/>
    <col min="30" max="30" width="5.7109375" bestFit="1" customWidth="1"/>
    <col min="31" max="31" width="8.5703125" bestFit="1" customWidth="1" outlineLevel="1"/>
    <col min="32" max="32" width="5.7109375" bestFit="1" customWidth="1"/>
    <col min="33" max="33" width="8.5703125" bestFit="1" customWidth="1" outlineLevel="1"/>
    <col min="34" max="34" width="5.7109375" bestFit="1" customWidth="1"/>
    <col min="35" max="35" width="8.5703125" bestFit="1" customWidth="1" outlineLevel="1"/>
    <col min="36" max="36" width="5.7109375" bestFit="1" customWidth="1"/>
    <col min="37" max="37" width="8.5703125" bestFit="1" customWidth="1" outlineLevel="1"/>
    <col min="38" max="38" width="5.7109375" bestFit="1" customWidth="1"/>
    <col min="39" max="39" width="8.5703125" bestFit="1" customWidth="1" outlineLevel="1"/>
    <col min="40" max="40" width="5.7109375" bestFit="1" customWidth="1"/>
    <col min="41" max="41" width="8.5703125" bestFit="1" customWidth="1" outlineLevel="1"/>
    <col min="42" max="42" width="5.7109375" bestFit="1" customWidth="1"/>
    <col min="43" max="43" width="8.5703125" bestFit="1" customWidth="1" outlineLevel="1"/>
    <col min="44" max="44" width="4.140625" customWidth="1"/>
    <col min="45" max="45" width="9.5703125" hidden="1" customWidth="1" outlineLevel="1"/>
    <col min="46" max="46" width="9.5703125" hidden="1" customWidth="1" collapsed="1"/>
    <col min="47" max="47" width="9.5703125" hidden="1" customWidth="1" outlineLevel="1"/>
    <col min="48" max="48" width="9.5703125" hidden="1" customWidth="1" collapsed="1"/>
    <col min="49" max="49" width="9.5703125" hidden="1" customWidth="1" outlineLevel="1"/>
    <col min="50" max="50" width="9.5703125" hidden="1" customWidth="1" collapsed="1"/>
    <col min="51" max="51" width="9.5703125" hidden="1" customWidth="1"/>
    <col min="52" max="52" width="8.85546875" style="5" customWidth="1"/>
    <col min="53" max="53" width="21.7109375" bestFit="1" customWidth="1"/>
    <col min="54" max="54" width="8.42578125" bestFit="1" customWidth="1"/>
    <col min="55" max="55" width="6.5703125" bestFit="1" customWidth="1"/>
    <col min="56" max="56" width="14" bestFit="1" customWidth="1"/>
    <col min="57" max="57" width="19.42578125" style="5" customWidth="1"/>
    <col min="58" max="58" width="67.42578125" customWidth="1"/>
    <col min="60" max="60" width="9.140625" customWidth="1"/>
    <col min="61" max="61" width="6" customWidth="1"/>
    <col min="62" max="62" width="51.85546875" customWidth="1"/>
    <col min="63" max="63" width="46" customWidth="1"/>
    <col min="64" max="64" width="59.140625" customWidth="1"/>
  </cols>
  <sheetData>
    <row r="1" spans="2:64" ht="15.75" thickBot="1">
      <c r="BH1" t="s">
        <v>27</v>
      </c>
      <c r="BJ1" t="s">
        <v>22</v>
      </c>
      <c r="BK1" t="s">
        <v>23</v>
      </c>
      <c r="BL1" t="s">
        <v>24</v>
      </c>
    </row>
    <row r="2" spans="2:64" ht="30" customHeight="1" thickBot="1">
      <c r="B2" s="60" t="str">
        <f ca="1">OFFSET(BJ2,4,LEFT(CodeLang,1)-1)</f>
        <v>langue</v>
      </c>
      <c r="C2" s="46" t="str">
        <f ca="1">OFFSET(BJ2,0,LEFT(CodeLang,1)-1)</f>
        <v>nom du contrôle</v>
      </c>
      <c r="D2" s="8" t="str">
        <f ca="1">OFFSET(BJ2,1,LEFT(CodeLang,1)-1)</f>
        <v>Evaluation SAV</v>
      </c>
      <c r="G2" s="59"/>
      <c r="H2" s="58"/>
      <c r="BH2" t="s">
        <v>28</v>
      </c>
      <c r="BJ2" t="s">
        <v>8</v>
      </c>
      <c r="BK2" t="s">
        <v>25</v>
      </c>
      <c r="BL2" t="s">
        <v>26</v>
      </c>
    </row>
    <row r="3" spans="2:64" ht="18.75">
      <c r="B3" s="60">
        <v>1</v>
      </c>
      <c r="C3" s="50" t="str">
        <f ca="1">OFFSET(BJ2,2,LEFT(CodeLang,1)-1)</f>
        <v>identifiant</v>
      </c>
      <c r="D3" s="51">
        <v>4</v>
      </c>
      <c r="AD3" s="18"/>
      <c r="AE3" s="18"/>
      <c r="AF3" s="18"/>
      <c r="AG3" s="18"/>
      <c r="AH3" s="18"/>
      <c r="AI3" s="18"/>
      <c r="AJ3" s="18"/>
      <c r="AK3" s="18"/>
      <c r="AL3" s="18"/>
      <c r="AM3" s="18"/>
      <c r="AN3" s="18"/>
      <c r="AO3" s="18"/>
      <c r="AQ3" s="18"/>
      <c r="AR3" s="12"/>
      <c r="AS3" s="18"/>
      <c r="AT3" s="18"/>
      <c r="AU3" s="18"/>
      <c r="AV3" s="18"/>
      <c r="AW3" s="18"/>
      <c r="AX3" s="18"/>
      <c r="AY3" s="17"/>
      <c r="AZ3" s="38"/>
      <c r="BA3" s="16" t="str">
        <f ca="1">OFFSET(BJ2,41,LEFT(CodeLang,1)-1)</f>
        <v>Relation Client</v>
      </c>
      <c r="BB3" s="301">
        <f>L35+N35+P35+R35+T35+V35+X35+Z35</f>
        <v>0</v>
      </c>
      <c r="BC3" s="20" t="str">
        <f>CONCATENATE("/",M34+O34+Q35+S35+U35+W35+Y35+AA35)</f>
        <v>/48</v>
      </c>
      <c r="BD3" s="24" t="str">
        <f ca="1">OFFSET(BJ2,9,LEFT(CodeLang,1)-1)</f>
        <v>objectif</v>
      </c>
      <c r="BE3" s="26">
        <f>D10</f>
        <v>0.9</v>
      </c>
      <c r="BH3" t="s">
        <v>30</v>
      </c>
      <c r="BJ3" t="s">
        <v>75</v>
      </c>
      <c r="BK3" t="s">
        <v>29</v>
      </c>
      <c r="BL3" t="s">
        <v>77</v>
      </c>
    </row>
    <row r="4" spans="2:64">
      <c r="C4" s="47" t="str">
        <f ca="1">OFFSET(BJ2,3,LEFT(CodeLang,1)-1)</f>
        <v>pays</v>
      </c>
      <c r="D4" s="9"/>
      <c r="I4" s="1"/>
      <c r="J4" s="1"/>
      <c r="K4" s="1"/>
      <c r="AD4" s="18"/>
      <c r="AE4" s="18"/>
      <c r="AF4" s="18"/>
      <c r="AG4" s="18"/>
      <c r="AH4" s="18"/>
      <c r="AI4" s="18"/>
      <c r="AJ4" s="18"/>
      <c r="AK4" s="18"/>
      <c r="AL4" s="18"/>
      <c r="AM4" s="18"/>
      <c r="AN4" s="18"/>
      <c r="AO4" s="18"/>
      <c r="AQ4" s="18"/>
      <c r="AR4" s="13"/>
      <c r="AS4" s="18"/>
      <c r="AT4" s="18"/>
      <c r="AU4" s="18"/>
      <c r="AV4" s="18"/>
      <c r="AW4" s="18"/>
      <c r="AX4" s="18"/>
      <c r="AY4" s="18"/>
      <c r="AZ4" s="3"/>
      <c r="BA4" s="14" t="str">
        <f ca="1">OFFSET(BJ2,42,LEFT(CodeLang,1)-1)</f>
        <v>Connaissance Métier</v>
      </c>
      <c r="BB4" s="302">
        <f>AB35+AD35+AF35+AH35+AJ35</f>
        <v>0</v>
      </c>
      <c r="BC4" s="21" t="str">
        <f>CONCATENATE("/",AC35+AE35+AG35+AI35+AK35)</f>
        <v>/37</v>
      </c>
      <c r="BD4" s="2" t="str">
        <f ca="1">OFFSET(BJ2,20,LEFT(CodeLang,1)-1)</f>
        <v>Note sur 100</v>
      </c>
      <c r="BE4" s="299">
        <f>AZ34</f>
        <v>0</v>
      </c>
      <c r="BH4" t="s">
        <v>31</v>
      </c>
      <c r="BJ4" t="s">
        <v>18</v>
      </c>
      <c r="BK4" t="s">
        <v>18</v>
      </c>
      <c r="BL4" t="s">
        <v>38</v>
      </c>
    </row>
    <row r="5" spans="2:64">
      <c r="C5" s="47" t="str">
        <f ca="1">OFFSET(BJ2,4,LEFT(CodeLang,1)-1)</f>
        <v>langue</v>
      </c>
      <c r="D5" s="9"/>
      <c r="AD5" s="18"/>
      <c r="AE5" s="18"/>
      <c r="AF5" s="18"/>
      <c r="AG5" s="18"/>
      <c r="AH5" s="18"/>
      <c r="AI5" s="18"/>
      <c r="AJ5" s="18"/>
      <c r="AK5" s="18"/>
      <c r="AL5" s="18"/>
      <c r="AM5" s="18"/>
      <c r="AN5" s="18"/>
      <c r="AO5" s="18"/>
      <c r="AQ5" s="18"/>
      <c r="AR5" s="13"/>
      <c r="AS5" s="18"/>
      <c r="AT5" s="18"/>
      <c r="AU5" s="18"/>
      <c r="AV5" s="18"/>
      <c r="AW5" s="18"/>
      <c r="AX5" s="18"/>
      <c r="AY5" s="18"/>
      <c r="AZ5" s="3"/>
      <c r="BA5" s="14" t="str">
        <f ca="1">OFFSET(BJ2,43,LEFT(CodeLang,1)-1)</f>
        <v>Expérience client</v>
      </c>
      <c r="BB5" s="302">
        <f>AL35+AN35</f>
        <v>0</v>
      </c>
      <c r="BC5" s="21" t="str">
        <f>CONCATENATE("/",AM35+AO35)</f>
        <v>/15</v>
      </c>
      <c r="BD5" s="2"/>
      <c r="BE5" s="6"/>
      <c r="BJ5" t="s">
        <v>0</v>
      </c>
      <c r="BK5" t="s">
        <v>39</v>
      </c>
      <c r="BL5" t="s">
        <v>78</v>
      </c>
    </row>
    <row r="6" spans="2:64">
      <c r="C6" s="47" t="str">
        <f ca="1">OFFSET(BJ2,5,LEFT(CodeLang,1)-1)</f>
        <v>prestataire</v>
      </c>
      <c r="D6" s="9"/>
      <c r="AD6" s="18"/>
      <c r="AE6" s="18"/>
      <c r="AF6" s="18"/>
      <c r="AG6" s="18"/>
      <c r="AH6" s="18"/>
      <c r="AI6" s="18"/>
      <c r="AJ6" s="18"/>
      <c r="AK6" s="18"/>
      <c r="AL6" s="18"/>
      <c r="AM6" s="18"/>
      <c r="AN6" s="18"/>
      <c r="AO6" s="18"/>
      <c r="AQ6" s="18"/>
      <c r="AR6" s="13"/>
      <c r="AS6" s="18"/>
      <c r="AT6" s="18"/>
      <c r="AU6" s="18"/>
      <c r="AV6" s="18"/>
      <c r="AW6" s="18"/>
      <c r="AX6" s="18"/>
      <c r="AY6" s="18"/>
      <c r="AZ6" s="3"/>
      <c r="BA6" s="14" t="str">
        <f ca="1">OFFSET(BJ2,44,LEFT(CodeLang,1)-1)</f>
        <v>Enchantement</v>
      </c>
      <c r="BB6" s="302">
        <f>AP35</f>
        <v>0</v>
      </c>
      <c r="BC6" s="21" t="str">
        <f>CONCATENATE("/",AQ35)</f>
        <v>/0</v>
      </c>
      <c r="BD6" s="2"/>
      <c r="BE6" s="6"/>
      <c r="BJ6" t="s">
        <v>1</v>
      </c>
      <c r="BK6" t="s">
        <v>40</v>
      </c>
      <c r="BL6" t="s">
        <v>41</v>
      </c>
    </row>
    <row r="7" spans="2:64">
      <c r="C7" s="47" t="str">
        <f ca="1">OFFSET(BJ2,6,LEFT(CodeLang,1)-1)</f>
        <v>date de traitement</v>
      </c>
      <c r="D7" s="72"/>
      <c r="AD7" s="18"/>
      <c r="AE7" s="18"/>
      <c r="AF7" s="18"/>
      <c r="AG7" s="18"/>
      <c r="AH7" s="18"/>
      <c r="AI7" s="18"/>
      <c r="AJ7" s="18"/>
      <c r="AK7" s="18"/>
      <c r="AL7" s="18"/>
      <c r="AM7" s="18"/>
      <c r="AN7" s="18"/>
      <c r="AO7" s="18"/>
      <c r="AQ7" s="18"/>
      <c r="AR7" s="13"/>
      <c r="AS7" s="18"/>
      <c r="AT7" s="18"/>
      <c r="AU7" s="18"/>
      <c r="AV7" s="18"/>
      <c r="AW7" s="18"/>
      <c r="AX7" s="18"/>
      <c r="AY7" s="18"/>
      <c r="AZ7" s="3"/>
      <c r="BA7" s="15"/>
      <c r="BB7" s="14"/>
      <c r="BC7" s="21"/>
      <c r="BD7" s="2" t="str">
        <f ca="1">OFFSET(BJ2,10,LEFT(CodeLang,1)-1)</f>
        <v>date contrôle</v>
      </c>
      <c r="BE7" s="300">
        <f>D11</f>
        <v>0</v>
      </c>
      <c r="BJ7" t="s">
        <v>2</v>
      </c>
      <c r="BK7" t="s">
        <v>43</v>
      </c>
      <c r="BL7" t="s">
        <v>42</v>
      </c>
    </row>
    <row r="8" spans="2:64">
      <c r="C8" s="28" t="str">
        <f ca="1">OFFSET(BJ2,7,LEFT(CodeLang,1)-1)</f>
        <v>Nombre de suivis</v>
      </c>
      <c r="D8" s="9">
        <v>10</v>
      </c>
      <c r="AD8" s="18"/>
      <c r="AE8" s="18"/>
      <c r="AF8" s="18"/>
      <c r="AG8" s="18"/>
      <c r="AH8" s="18"/>
      <c r="AI8" s="18"/>
      <c r="AJ8" s="18"/>
      <c r="AK8" s="18"/>
      <c r="AL8" s="18"/>
      <c r="AM8" s="18"/>
      <c r="AN8" s="18"/>
      <c r="AO8" s="18"/>
      <c r="AQ8" s="18"/>
      <c r="AR8" s="13"/>
      <c r="AS8" s="18"/>
      <c r="AT8" s="18"/>
      <c r="AU8" s="18"/>
      <c r="AV8" s="18"/>
      <c r="AW8" s="18"/>
      <c r="AX8" s="18"/>
      <c r="AY8" s="18"/>
      <c r="AZ8" s="3"/>
      <c r="BA8" s="15"/>
      <c r="BB8" s="14"/>
      <c r="BC8" s="21"/>
      <c r="BD8" s="2"/>
      <c r="BE8" s="6"/>
      <c r="BJ8" t="s">
        <v>20</v>
      </c>
      <c r="BK8" t="s">
        <v>44</v>
      </c>
      <c r="BL8" t="s">
        <v>79</v>
      </c>
    </row>
    <row r="9" spans="2:64" ht="15.75" thickBot="1">
      <c r="C9" s="28" t="str">
        <f ca="1">OFFSET(BJ2,8,LEFT(CodeLang,1)-1)</f>
        <v>évaluateur</v>
      </c>
      <c r="D9" s="9"/>
      <c r="AD9" s="18"/>
      <c r="AE9" s="18"/>
      <c r="AF9" s="18"/>
      <c r="AG9" s="18"/>
      <c r="AH9" s="18"/>
      <c r="AI9" s="18"/>
      <c r="AJ9" s="18"/>
      <c r="AK9" s="18"/>
      <c r="AN9" s="18"/>
      <c r="AO9" s="18"/>
      <c r="AQ9" s="89"/>
      <c r="AR9" s="25"/>
      <c r="AS9" s="19"/>
      <c r="AT9" s="19"/>
      <c r="AU9" s="19"/>
      <c r="AV9" s="19"/>
      <c r="AW9" s="19"/>
      <c r="AX9" s="19"/>
      <c r="AY9" s="19"/>
      <c r="AZ9" s="39"/>
      <c r="BA9" s="22"/>
      <c r="BB9" s="19"/>
      <c r="BC9" s="19"/>
      <c r="BD9" s="19"/>
      <c r="BE9" s="27"/>
      <c r="BJ9" t="s">
        <v>3</v>
      </c>
      <c r="BK9" t="s">
        <v>46</v>
      </c>
      <c r="BL9" t="s">
        <v>45</v>
      </c>
    </row>
    <row r="10" spans="2:64">
      <c r="C10" s="28" t="str">
        <f ca="1">OFFSET(BJ2,9,LEFT(CodeLang,1)-1)</f>
        <v>objectif</v>
      </c>
      <c r="D10" s="10">
        <v>0.9</v>
      </c>
      <c r="G10" s="4"/>
      <c r="AD10" s="18"/>
      <c r="AE10" s="18"/>
      <c r="AF10" s="18"/>
      <c r="AG10" s="18"/>
      <c r="AH10" s="18"/>
      <c r="AI10" s="18"/>
      <c r="AJ10" s="18"/>
      <c r="AK10" s="18"/>
      <c r="AL10" s="18"/>
      <c r="AM10" s="18"/>
      <c r="AN10" s="18"/>
      <c r="AO10" s="18"/>
      <c r="AP10" s="18"/>
      <c r="AQ10" s="18"/>
      <c r="AR10" s="18"/>
      <c r="AS10" s="18"/>
      <c r="AT10" s="18"/>
      <c r="AU10" s="18"/>
      <c r="AV10" s="18"/>
      <c r="AW10" s="18"/>
      <c r="AX10" s="18"/>
      <c r="BJ10" t="s">
        <v>19</v>
      </c>
      <c r="BK10" t="s">
        <v>47</v>
      </c>
      <c r="BL10" t="s">
        <v>48</v>
      </c>
    </row>
    <row r="11" spans="2:64" ht="15.75" thickBot="1">
      <c r="C11" s="29" t="str">
        <f ca="1">OFFSET(BJ2,10,LEFT(CodeLang,1)-1)</f>
        <v>date contrôle</v>
      </c>
      <c r="D11" s="11"/>
      <c r="G11" s="4"/>
      <c r="BJ11" t="s">
        <v>4</v>
      </c>
      <c r="BK11" t="s">
        <v>50</v>
      </c>
      <c r="BL11" t="s">
        <v>49</v>
      </c>
    </row>
    <row r="12" spans="2:64" ht="15.75" hidden="1" thickBot="1">
      <c r="C12" s="29" t="str">
        <f ca="1">OFFSET(BJ2,11,LEFT(CodeLang,1)-1)</f>
        <v>commentaire</v>
      </c>
      <c r="D12" s="11"/>
      <c r="G12" s="4"/>
      <c r="BJ12" t="s">
        <v>16</v>
      </c>
      <c r="BK12" t="s">
        <v>51</v>
      </c>
      <c r="BL12" t="s">
        <v>52</v>
      </c>
    </row>
    <row r="13" spans="2:64" ht="15.75" thickBot="1">
      <c r="C13" s="3"/>
      <c r="D13" s="52"/>
      <c r="G13" s="4"/>
      <c r="BJ13" t="s">
        <v>10</v>
      </c>
      <c r="BK13" t="s">
        <v>54</v>
      </c>
      <c r="BL13" t="s">
        <v>53</v>
      </c>
    </row>
    <row r="14" spans="2:64" ht="15.75" hidden="1" thickBot="1">
      <c r="C14" s="3"/>
      <c r="D14" s="52"/>
      <c r="G14" s="4"/>
    </row>
    <row r="15" spans="2:64" ht="15.75" hidden="1" thickBot="1">
      <c r="C15" s="3"/>
      <c r="D15" s="52"/>
      <c r="G15" s="4"/>
    </row>
    <row r="16" spans="2:64" ht="15.75" hidden="1" thickBot="1">
      <c r="G16" s="4"/>
    </row>
    <row r="17" spans="1:64" ht="15.75" hidden="1" thickBot="1">
      <c r="C17" s="3"/>
      <c r="D17" s="52"/>
      <c r="G17" s="4"/>
    </row>
    <row r="18" spans="1:64" ht="15.75" hidden="1" thickBot="1">
      <c r="C18" s="3"/>
      <c r="D18" s="52"/>
      <c r="G18" s="4"/>
    </row>
    <row r="19" spans="1:64" ht="15.75" hidden="1" thickBot="1">
      <c r="C19" s="3"/>
      <c r="D19" s="52"/>
      <c r="G19" s="4"/>
    </row>
    <row r="20" spans="1:64" ht="15.75" hidden="1" thickBot="1">
      <c r="G20" s="4"/>
    </row>
    <row r="21" spans="1:64" s="23" customFormat="1" ht="27" customHeight="1">
      <c r="B21" s="31" t="str">
        <f ca="1">OFFSET(BJ2,28,LEFT(CodeLang,1)-1)</f>
        <v>n° d'appel</v>
      </c>
      <c r="C21" s="32" t="str">
        <f ca="1">OFFSET(BJ2,29,LEFT(CodeLang,1)-1)</f>
        <v>agent</v>
      </c>
      <c r="D21" s="32" t="str">
        <f ca="1">OFFSET(BJ2,30,LEFT(CodeLang,1)-1)</f>
        <v>n° client</v>
      </c>
      <c r="E21" s="32" t="str">
        <f ca="1">OFFSET(BJ2,31,LEFT(CodeLang,1)-1)</f>
        <v>pays</v>
      </c>
      <c r="F21" s="32" t="str">
        <f ca="1">OFFSET(BJ2,32,LEFT(CodeLang,1)-1)</f>
        <v>n°cde n°req</v>
      </c>
      <c r="G21" s="32" t="str">
        <f ca="1">OFFSET(BJ2,33,LEFT(CodeLang,1)-1)</f>
        <v>n° tel</v>
      </c>
      <c r="H21" s="32" t="str">
        <f ca="1">OFFSET(BJ2,34,LEFT(CodeLang,1)-1)</f>
        <v>DMT DMC</v>
      </c>
      <c r="I21" s="32" t="str">
        <f ca="1">OFFSET(BJ2,35,LEFT(CodeLang,1)-1)</f>
        <v>type de cde</v>
      </c>
      <c r="J21" s="84" t="str">
        <f ca="1">OFFSET(BJ2,36,LEFT(CodeLang,1)-1)</f>
        <v>Demande client</v>
      </c>
      <c r="K21" s="37" t="str">
        <f ca="1">OFFSET(BJ2,37,LEFT(CodeLang,1)-1)</f>
        <v>ID Contact</v>
      </c>
      <c r="L21" s="210" t="str">
        <f ca="1">OFFSET(BJ2,41,LEFT(CodeLang,1)-1)</f>
        <v>Relation Client</v>
      </c>
      <c r="M21" s="208"/>
      <c r="N21" s="208"/>
      <c r="O21" s="208"/>
      <c r="P21" s="208"/>
      <c r="Q21" s="208"/>
      <c r="R21" s="208"/>
      <c r="S21" s="208"/>
      <c r="T21" s="208"/>
      <c r="U21" s="208"/>
      <c r="V21" s="208"/>
      <c r="W21" s="208"/>
      <c r="X21" s="208"/>
      <c r="Y21" s="208"/>
      <c r="Z21" s="208"/>
      <c r="AA21" s="208"/>
      <c r="AB21" s="210" t="str">
        <f ca="1">OFFSET(BJ2,42,LEFT(CodeLang,1)-1)</f>
        <v>Connaissance Métier</v>
      </c>
      <c r="AC21" s="208"/>
      <c r="AD21" s="208"/>
      <c r="AE21" s="208"/>
      <c r="AF21" s="208"/>
      <c r="AG21" s="208"/>
      <c r="AH21" s="208"/>
      <c r="AI21" s="208"/>
      <c r="AJ21" s="208"/>
      <c r="AK21" s="211"/>
      <c r="AL21" s="210" t="str">
        <f ca="1">OFFSET(BJ2,43,LEFT(CodeLang,1)-1)</f>
        <v>Expérience client</v>
      </c>
      <c r="AM21" s="208"/>
      <c r="AN21" s="208"/>
      <c r="AO21" s="211"/>
      <c r="AP21" s="212" t="str">
        <f ca="1">OFFSET(BJ2,44,LEFT(CodeLang,1)-1)</f>
        <v>Enchantement</v>
      </c>
      <c r="AQ21" s="213"/>
      <c r="AR21" s="94"/>
      <c r="AS21" s="62"/>
      <c r="AT21" s="207"/>
      <c r="AU21" s="209"/>
      <c r="AV21" s="207"/>
      <c r="AW21" s="209"/>
      <c r="AX21" s="207"/>
      <c r="AY21" s="208"/>
      <c r="AZ21" s="98" t="str">
        <f ca="1">OFFSET(BJ2,22,LEFT(CodeLang,1)-1)</f>
        <v>note totale</v>
      </c>
      <c r="BA21" s="195" t="str">
        <f ca="1">OFFSET(BJ2,11,LEFT(CodeLang,1)-1)</f>
        <v>commentaire</v>
      </c>
      <c r="BB21" s="195"/>
      <c r="BC21" s="195"/>
      <c r="BD21" s="195"/>
      <c r="BE21" s="196"/>
      <c r="BF21" s="191" t="s">
        <v>76</v>
      </c>
    </row>
    <row r="22" spans="1:64" s="23" customFormat="1" ht="85.5" customHeight="1">
      <c r="B22" s="53"/>
      <c r="C22" s="54"/>
      <c r="D22" s="54"/>
      <c r="E22" s="54"/>
      <c r="F22" s="54"/>
      <c r="G22" s="54"/>
      <c r="H22" s="54"/>
      <c r="I22" s="54"/>
      <c r="J22" s="85"/>
      <c r="K22" s="55"/>
      <c r="L22" s="229" t="str">
        <f ca="1">OFFSET(BJ2,50,LEFT(CodeLang,1)-1)</f>
        <v>Accueil</v>
      </c>
      <c r="M22" s="230"/>
      <c r="N22" s="227" t="str">
        <f ca="1">OFFSET(BJ2,51,LEFT(CodeLang,1)-1)</f>
        <v>Identification</v>
      </c>
      <c r="O22" s="230"/>
      <c r="P22" s="227" t="str">
        <f ca="1">OFFSET(BJ2,52,LEFT(CodeLang,1)-1)</f>
        <v>Respect de la mise en attente</v>
      </c>
      <c r="Q22" s="230"/>
      <c r="R22" s="227" t="str">
        <f ca="1">OFFSET(BJ2,53,LEFT(CodeLang,1)-1)</f>
        <v>Conclusion du contact</v>
      </c>
      <c r="S22" s="230"/>
      <c r="T22" s="227" t="str">
        <f ca="1">OFFSET(BJ2,54,LEFT(CodeLang,1)-1)</f>
        <v>Prise de congés</v>
      </c>
      <c r="U22" s="230"/>
      <c r="V22" s="227" t="str">
        <f ca="1">OFFSET(BJ2,55,LEFT(CodeLang,1)-1)</f>
        <v>Personnalisation</v>
      </c>
      <c r="W22" s="230"/>
      <c r="X22" s="227" t="str">
        <f ca="1">OFFSET(BJ2,56,LEFT(CodeLang,1)-1)</f>
        <v>Climat de l'appel</v>
      </c>
      <c r="Y22" s="230"/>
      <c r="Z22" s="227" t="str">
        <f ca="1">OFFSET(BJ2,57,LEFT(CodeLang,1)-1)</f>
        <v>Maîtrise de l'entretien et directivité</v>
      </c>
      <c r="AA22" s="228"/>
      <c r="AB22" s="229" t="str">
        <f ca="1">OFFSET(BJ2,58,LEFT(CodeLang,1)-1)</f>
        <v>Découverte et reformulation</v>
      </c>
      <c r="AC22" s="230"/>
      <c r="AD22" s="227" t="str">
        <f ca="1">OFFSET(BJ2,59,LEFT(CodeLang,1)-1)</f>
        <v>Pertinence de la réponse</v>
      </c>
      <c r="AE22" s="230"/>
      <c r="AF22" s="227" t="str">
        <f ca="1">OFFSET(BJ2,60,LEFT(CodeLang,1)-1)</f>
        <v>Utilisation.Maîtrise des outiils</v>
      </c>
      <c r="AG22" s="230"/>
      <c r="AH22" s="227" t="str">
        <f ca="1">OFFSET(BJ2,61,LEFT(CodeLang,1)-1)</f>
        <v>Codification</v>
      </c>
      <c r="AI22" s="230"/>
      <c r="AJ22" s="227" t="str">
        <f ca="1">OFFSET(BJ2,62,LEFT(CodeLang,1)-1)</f>
        <v>Délai de traitement</v>
      </c>
      <c r="AK22" s="231"/>
      <c r="AL22" s="205" t="str">
        <f ca="1">OFFSET(BJ2,63,LEFT(CodeLang,1)-1)</f>
        <v>Expérience client</v>
      </c>
      <c r="AM22" s="206"/>
      <c r="AN22" s="193" t="str">
        <f ca="1">OFFSET(BJ2,64,LEFT(CodeLang,1)-1)</f>
        <v>Ecoute et emphatie</v>
      </c>
      <c r="AO22" s="194"/>
      <c r="AP22" s="205" t="str">
        <f ca="1">OFFSET(BJ2,65,LEFT(CodeLang,1)-1)</f>
        <v>Bonus</v>
      </c>
      <c r="AQ22" s="194"/>
      <c r="AR22" s="95"/>
      <c r="AS22" s="54"/>
      <c r="AT22" s="54"/>
      <c r="AU22" s="54"/>
      <c r="AV22" s="54"/>
      <c r="AW22" s="54"/>
      <c r="AX22" s="54"/>
      <c r="AY22" s="93"/>
      <c r="AZ22" s="92"/>
      <c r="BA22" s="197"/>
      <c r="BB22" s="197"/>
      <c r="BC22" s="197"/>
      <c r="BD22" s="197"/>
      <c r="BE22" s="198"/>
      <c r="BF22" s="192"/>
      <c r="BJ22" t="s">
        <v>9</v>
      </c>
      <c r="BK22" t="s">
        <v>55</v>
      </c>
      <c r="BL22" t="s">
        <v>80</v>
      </c>
    </row>
    <row r="23" spans="1:64" s="23" customFormat="1" ht="27" customHeight="1" thickBot="1">
      <c r="B23" s="33"/>
      <c r="C23" s="68"/>
      <c r="D23" s="34"/>
      <c r="E23" s="34"/>
      <c r="F23" s="34"/>
      <c r="G23" s="34"/>
      <c r="H23" s="34"/>
      <c r="I23" s="34"/>
      <c r="J23" s="86"/>
      <c r="K23" s="35"/>
      <c r="L23" s="36" t="str">
        <f ca="1">OFFSET(BJ2,21,LEFT(CodeLang,1)-1)</f>
        <v>note</v>
      </c>
      <c r="M23" s="34" t="str">
        <f ca="1">OFFSET(BJ2,27,LEFT(CodeLang,1)-1)</f>
        <v>barème</v>
      </c>
      <c r="N23" s="36" t="str">
        <f ca="1">OFFSET(BJ2,21,LEFT(CodeLang,1)-1)</f>
        <v>note</v>
      </c>
      <c r="O23" s="34" t="str">
        <f ca="1">OFFSET(BJ2,27,LEFT(CodeLang,1)-1)</f>
        <v>barème</v>
      </c>
      <c r="P23" s="34" t="str">
        <f ca="1">OFFSET(BJ2,21,LEFT(CodeLang,1)-1)</f>
        <v>note</v>
      </c>
      <c r="Q23" s="34" t="str">
        <f ca="1">OFFSET(BJ2,27,LEFT(CodeLang,1)-1)</f>
        <v>barème</v>
      </c>
      <c r="R23" s="34" t="str">
        <f ca="1">OFFSET(BJ2,21,LEFT(CodeLang,1)-1)</f>
        <v>note</v>
      </c>
      <c r="S23" s="34" t="str">
        <f ca="1">OFFSET(BJ2,27,LEFT(CodeLang,1)-1)</f>
        <v>barème</v>
      </c>
      <c r="T23" s="34" t="str">
        <f ca="1">OFFSET(BJ2,21,LEFT(CodeLang,1)-1)</f>
        <v>note</v>
      </c>
      <c r="U23" s="34" t="str">
        <f ca="1">OFFSET(BJ2,27,LEFT(CodeLang,1)-1)</f>
        <v>barème</v>
      </c>
      <c r="V23" s="34" t="str">
        <f ca="1">OFFSET(BJ2,21,LEFT(CodeLang,1)-1)</f>
        <v>note</v>
      </c>
      <c r="W23" s="34" t="str">
        <f ca="1">OFFSET(BJ2,27,LEFT(CodeLang,1)-1)</f>
        <v>barème</v>
      </c>
      <c r="X23" s="34" t="str">
        <f ca="1">OFFSET(BJ2,21,LEFT(CodeLang,1)-1)</f>
        <v>note</v>
      </c>
      <c r="Y23" s="34" t="str">
        <f ca="1">OFFSET(BJ2,27,LEFT(CodeLang,1)-1)</f>
        <v>barème</v>
      </c>
      <c r="Z23" s="34" t="str">
        <f ca="1">OFFSET(BJ2,21,LEFT(CodeLang,1)-1)</f>
        <v>note</v>
      </c>
      <c r="AA23" s="86" t="str">
        <f ca="1">OFFSET(BJ2,27,LEFT(CodeLang,1)-1)</f>
        <v>barème</v>
      </c>
      <c r="AB23" s="33" t="str">
        <f ca="1">OFFSET(BJ2,21,LEFT(CodeLang,1)-1)</f>
        <v>note</v>
      </c>
      <c r="AC23" s="34" t="str">
        <f ca="1">OFFSET(BJ2,27,LEFT(CodeLang,1)-1)</f>
        <v>barème</v>
      </c>
      <c r="AD23" s="34" t="str">
        <f ca="1">OFFSET(BJ2,21,LEFT(CodeLang,1)-1)</f>
        <v>note</v>
      </c>
      <c r="AE23" s="34" t="str">
        <f ca="1">OFFSET(BJ2,27,LEFT(CodeLang,1)-1)</f>
        <v>barème</v>
      </c>
      <c r="AF23" s="34" t="str">
        <f ca="1">OFFSET(BJ2,21,LEFT(CodeLang,1)-1)</f>
        <v>note</v>
      </c>
      <c r="AG23" s="34" t="str">
        <f ca="1">OFFSET(BJ2,27,LEFT(CodeLang,1)-1)</f>
        <v>barème</v>
      </c>
      <c r="AH23" s="34" t="str">
        <f ca="1">OFFSET(BJ2,21,LEFT(CodeLang,1)-1)</f>
        <v>note</v>
      </c>
      <c r="AI23" s="34" t="str">
        <f ca="1">OFFSET(BJ2,27,LEFT(CodeLang,1)-1)</f>
        <v>barème</v>
      </c>
      <c r="AJ23" s="34" t="str">
        <f ca="1">OFFSET(BJ2,21,LEFT(CodeLang,1)-1)</f>
        <v>note</v>
      </c>
      <c r="AK23" s="35" t="str">
        <f ca="1">OFFSET(BJ2,27,LEFT(CodeLang,1)-1)</f>
        <v>barème</v>
      </c>
      <c r="AL23" s="33" t="str">
        <f ca="1">OFFSET(BJ2,21,LEFT(CodeLang,1)-1)</f>
        <v>note</v>
      </c>
      <c r="AM23" s="61" t="str">
        <f ca="1">OFFSET(BJ2,27,LEFT(CodeLang,1)-1)</f>
        <v>barème</v>
      </c>
      <c r="AN23" s="61" t="str">
        <f ca="1">OFFSET(BJ2,21,LEFT(CodeLang,1)-1)</f>
        <v>note</v>
      </c>
      <c r="AO23" s="35" t="str">
        <f ca="1">OFFSET(BJ2,27,LEFT(CodeLang,1)-1)</f>
        <v>barème</v>
      </c>
      <c r="AP23" s="97" t="str">
        <f ca="1">OFFSET(BJ2,21,LEFT(CodeLang,1)-1)</f>
        <v>note</v>
      </c>
      <c r="AQ23" s="35" t="str">
        <f ca="1">OFFSET(BJ2,27,LEFT(CodeLang,1)-1)</f>
        <v>barème</v>
      </c>
      <c r="AR23" s="96"/>
      <c r="AS23" s="34" t="s">
        <v>13</v>
      </c>
      <c r="AT23" s="34" t="s">
        <v>12</v>
      </c>
      <c r="AU23" s="34" t="s">
        <v>13</v>
      </c>
      <c r="AV23" s="34" t="s">
        <v>12</v>
      </c>
      <c r="AW23" s="34" t="s">
        <v>13</v>
      </c>
      <c r="AX23" s="34" t="s">
        <v>12</v>
      </c>
      <c r="AY23" s="86" t="s">
        <v>13</v>
      </c>
      <c r="AZ23" s="99" t="str">
        <f ca="1">OFFSET(BJ2,21,LEFT(CodeLang,1)-1)</f>
        <v>note</v>
      </c>
      <c r="BA23" s="199"/>
      <c r="BB23" s="199"/>
      <c r="BC23" s="199"/>
      <c r="BD23" s="199"/>
      <c r="BE23" s="200"/>
      <c r="BF23" s="192"/>
      <c r="BJ23" t="s">
        <v>12</v>
      </c>
      <c r="BK23" t="s">
        <v>12</v>
      </c>
      <c r="BL23" t="s">
        <v>220</v>
      </c>
    </row>
    <row r="24" spans="1:64" s="73" customFormat="1" ht="53.25" customHeight="1">
      <c r="A24" s="73" t="s">
        <v>21</v>
      </c>
      <c r="B24" s="74">
        <v>1</v>
      </c>
      <c r="C24" s="75"/>
      <c r="D24" s="76"/>
      <c r="E24" s="83"/>
      <c r="F24" s="77"/>
      <c r="G24" s="165"/>
      <c r="H24" s="78"/>
      <c r="I24" s="79"/>
      <c r="J24" s="87"/>
      <c r="K24" s="80"/>
      <c r="L24" s="144">
        <v>0</v>
      </c>
      <c r="M24" s="77">
        <v>0.5</v>
      </c>
      <c r="N24" s="74"/>
      <c r="O24" s="77">
        <v>1</v>
      </c>
      <c r="P24" s="74"/>
      <c r="Q24" s="77">
        <v>0.3</v>
      </c>
      <c r="R24" s="74"/>
      <c r="S24" s="77">
        <v>0.5</v>
      </c>
      <c r="T24" s="74"/>
      <c r="U24" s="77">
        <v>0.5</v>
      </c>
      <c r="V24" s="74"/>
      <c r="W24" s="81">
        <v>0.5</v>
      </c>
      <c r="X24" s="74"/>
      <c r="Y24" s="81">
        <v>1</v>
      </c>
      <c r="Z24" s="74"/>
      <c r="AA24" s="81">
        <v>0.5</v>
      </c>
      <c r="AB24" s="74"/>
      <c r="AC24" s="81">
        <v>1</v>
      </c>
      <c r="AD24" s="74"/>
      <c r="AE24" s="81">
        <v>1.5</v>
      </c>
      <c r="AF24" s="74"/>
      <c r="AG24" s="82">
        <v>0.5</v>
      </c>
      <c r="AH24" s="74"/>
      <c r="AI24" s="82">
        <v>0.5</v>
      </c>
      <c r="AJ24" s="74"/>
      <c r="AK24" s="82">
        <v>0.2</v>
      </c>
      <c r="AL24" s="74"/>
      <c r="AM24" s="82">
        <v>1</v>
      </c>
      <c r="AN24" s="74"/>
      <c r="AO24" s="83">
        <v>0.5</v>
      </c>
      <c r="AP24" s="74"/>
      <c r="AQ24" s="100">
        <v>0</v>
      </c>
      <c r="AR24" s="103"/>
      <c r="AS24" s="104"/>
      <c r="AT24" s="104"/>
      <c r="AU24" s="104"/>
      <c r="AV24" s="104"/>
      <c r="AW24" s="104"/>
      <c r="AX24" s="104"/>
      <c r="AY24" s="104"/>
      <c r="AZ24" s="107">
        <f t="shared" ref="AZ24:AZ34" si="0">SUM(L24,N24,P24,R24,T24,V24,X24,Z24,AB24,AD24,AF24,AH24,AJ24,AL24,AN24,AP24,AR24,AT24,AV24,AX24)</f>
        <v>0</v>
      </c>
      <c r="BA24" s="201"/>
      <c r="BB24" s="201"/>
      <c r="BC24" s="201"/>
      <c r="BD24" s="201"/>
      <c r="BE24" s="202"/>
      <c r="BF24" s="188"/>
      <c r="BJ24" s="73" t="s">
        <v>14</v>
      </c>
      <c r="BK24" s="73" t="s">
        <v>56</v>
      </c>
      <c r="BL24" s="73" t="s">
        <v>57</v>
      </c>
    </row>
    <row r="25" spans="1:64" ht="53.25" customHeight="1">
      <c r="A25" t="s">
        <v>21</v>
      </c>
      <c r="B25" s="45">
        <v>2</v>
      </c>
      <c r="C25" s="40"/>
      <c r="D25" s="63"/>
      <c r="E25" s="91"/>
      <c r="F25" s="43"/>
      <c r="G25" s="166"/>
      <c r="H25" s="65"/>
      <c r="I25" s="42"/>
      <c r="J25" s="87"/>
      <c r="K25" s="67"/>
      <c r="L25" s="147"/>
      <c r="M25" s="91">
        <v>0.5</v>
      </c>
      <c r="N25" s="146"/>
      <c r="O25" s="91">
        <v>1</v>
      </c>
      <c r="P25" s="146"/>
      <c r="Q25" s="91">
        <v>0.3</v>
      </c>
      <c r="R25" s="146"/>
      <c r="S25" s="91">
        <v>0.5</v>
      </c>
      <c r="T25" s="146"/>
      <c r="U25" s="91">
        <v>0.5</v>
      </c>
      <c r="V25" s="146"/>
      <c r="W25" s="174">
        <v>0.5</v>
      </c>
      <c r="X25" s="146"/>
      <c r="Y25" s="174">
        <v>1</v>
      </c>
      <c r="Z25" s="146"/>
      <c r="AA25" s="174">
        <v>0.5</v>
      </c>
      <c r="AB25" s="146"/>
      <c r="AC25" s="174">
        <v>1</v>
      </c>
      <c r="AD25" s="146"/>
      <c r="AE25" s="174">
        <v>1.5</v>
      </c>
      <c r="AF25" s="146"/>
      <c r="AG25" s="174">
        <v>0.5</v>
      </c>
      <c r="AH25" s="146"/>
      <c r="AI25" s="174">
        <v>0.5</v>
      </c>
      <c r="AJ25" s="146"/>
      <c r="AK25" s="174">
        <v>0.2</v>
      </c>
      <c r="AL25" s="146"/>
      <c r="AM25" s="174">
        <v>1</v>
      </c>
      <c r="AN25" s="146"/>
      <c r="AO25" s="91">
        <v>0.5</v>
      </c>
      <c r="AP25" s="146"/>
      <c r="AQ25" s="185">
        <v>0</v>
      </c>
      <c r="AR25" s="105"/>
      <c r="AS25" s="106"/>
      <c r="AT25" s="106"/>
      <c r="AU25" s="106"/>
      <c r="AV25" s="106"/>
      <c r="AW25" s="106"/>
      <c r="AX25" s="106"/>
      <c r="AY25" s="106"/>
      <c r="AZ25" s="107">
        <f t="shared" si="0"/>
        <v>0</v>
      </c>
      <c r="BA25" s="203"/>
      <c r="BB25" s="203"/>
      <c r="BC25" s="203"/>
      <c r="BD25" s="203"/>
      <c r="BE25" s="204"/>
      <c r="BF25" s="189"/>
      <c r="BJ25" t="s">
        <v>10</v>
      </c>
      <c r="BK25" t="s">
        <v>54</v>
      </c>
      <c r="BL25" t="s">
        <v>53</v>
      </c>
    </row>
    <row r="26" spans="1:64" s="1" customFormat="1" ht="53.25" customHeight="1">
      <c r="A26" s="1" t="s">
        <v>21</v>
      </c>
      <c r="B26" s="171">
        <v>3</v>
      </c>
      <c r="C26" s="172"/>
      <c r="D26" s="173"/>
      <c r="E26" s="174"/>
      <c r="F26" s="44"/>
      <c r="G26" s="175"/>
      <c r="H26" s="176"/>
      <c r="I26" s="177"/>
      <c r="J26" s="178"/>
      <c r="K26" s="179"/>
      <c r="L26" s="146"/>
      <c r="M26" s="91">
        <v>0.5</v>
      </c>
      <c r="N26" s="146"/>
      <c r="O26" s="174">
        <v>1</v>
      </c>
      <c r="P26" s="186"/>
      <c r="Q26" s="174">
        <v>0.3</v>
      </c>
      <c r="R26" s="186"/>
      <c r="S26" s="174">
        <v>0.5</v>
      </c>
      <c r="T26" s="146"/>
      <c r="U26" s="91">
        <v>0.5</v>
      </c>
      <c r="V26" s="146"/>
      <c r="W26" s="174">
        <v>0.5</v>
      </c>
      <c r="X26" s="146"/>
      <c r="Y26" s="174">
        <v>1</v>
      </c>
      <c r="Z26" s="146"/>
      <c r="AA26" s="174">
        <v>0.5</v>
      </c>
      <c r="AB26" s="146"/>
      <c r="AC26" s="174">
        <v>1</v>
      </c>
      <c r="AD26" s="186"/>
      <c r="AE26" s="174">
        <v>1.5</v>
      </c>
      <c r="AF26" s="186"/>
      <c r="AG26" s="174">
        <v>0.5</v>
      </c>
      <c r="AH26" s="186"/>
      <c r="AI26" s="174">
        <v>0.5</v>
      </c>
      <c r="AJ26" s="186"/>
      <c r="AK26" s="174">
        <v>0.2</v>
      </c>
      <c r="AL26" s="186"/>
      <c r="AM26" s="174">
        <v>1</v>
      </c>
      <c r="AN26" s="186"/>
      <c r="AO26" s="174">
        <v>0.5</v>
      </c>
      <c r="AP26" s="186"/>
      <c r="AQ26" s="187">
        <v>0</v>
      </c>
      <c r="AR26" s="105"/>
      <c r="AS26" s="180"/>
      <c r="AT26" s="180"/>
      <c r="AU26" s="180"/>
      <c r="AV26" s="180"/>
      <c r="AW26" s="180"/>
      <c r="AX26" s="180"/>
      <c r="AY26" s="180"/>
      <c r="AZ26" s="181">
        <f t="shared" si="0"/>
        <v>0</v>
      </c>
      <c r="BA26" s="214"/>
      <c r="BB26" s="214"/>
      <c r="BC26" s="214"/>
      <c r="BD26" s="214"/>
      <c r="BE26" s="215"/>
      <c r="BF26" s="190"/>
      <c r="BJ26" s="1" t="s">
        <v>35</v>
      </c>
      <c r="BK26" s="1" t="s">
        <v>59</v>
      </c>
      <c r="BL26" s="1" t="s">
        <v>58</v>
      </c>
    </row>
    <row r="27" spans="1:64" s="1" customFormat="1" ht="53.25" customHeight="1">
      <c r="A27" s="1" t="s">
        <v>21</v>
      </c>
      <c r="B27" s="171">
        <v>4</v>
      </c>
      <c r="C27" s="172"/>
      <c r="D27" s="173"/>
      <c r="E27" s="174"/>
      <c r="F27" s="44"/>
      <c r="G27" s="182"/>
      <c r="H27" s="183"/>
      <c r="I27" s="177"/>
      <c r="J27" s="178"/>
      <c r="K27" s="179"/>
      <c r="L27" s="146"/>
      <c r="M27" s="91">
        <v>0.5</v>
      </c>
      <c r="N27" s="146"/>
      <c r="O27" s="174">
        <v>1</v>
      </c>
      <c r="P27" s="186"/>
      <c r="Q27" s="174">
        <v>0.3</v>
      </c>
      <c r="R27" s="186"/>
      <c r="S27" s="174">
        <v>0.5</v>
      </c>
      <c r="T27" s="146"/>
      <c r="U27" s="91">
        <v>0.5</v>
      </c>
      <c r="V27" s="146"/>
      <c r="W27" s="174">
        <v>0.5</v>
      </c>
      <c r="X27" s="146"/>
      <c r="Y27" s="174">
        <v>1</v>
      </c>
      <c r="Z27" s="146"/>
      <c r="AA27" s="174">
        <v>0.5</v>
      </c>
      <c r="AB27" s="146"/>
      <c r="AC27" s="174">
        <v>1</v>
      </c>
      <c r="AD27" s="186"/>
      <c r="AE27" s="174">
        <v>1.5</v>
      </c>
      <c r="AF27" s="186"/>
      <c r="AG27" s="174">
        <v>0.5</v>
      </c>
      <c r="AH27" s="186"/>
      <c r="AI27" s="174">
        <v>0.5</v>
      </c>
      <c r="AJ27" s="186"/>
      <c r="AK27" s="174">
        <v>0.2</v>
      </c>
      <c r="AL27" s="186"/>
      <c r="AM27" s="174">
        <v>1</v>
      </c>
      <c r="AN27" s="186"/>
      <c r="AO27" s="174">
        <v>0.5</v>
      </c>
      <c r="AP27" s="186"/>
      <c r="AQ27" s="187">
        <v>0</v>
      </c>
      <c r="AR27" s="105"/>
      <c r="AS27" s="180"/>
      <c r="AT27" s="180"/>
      <c r="AU27" s="180"/>
      <c r="AV27" s="180"/>
      <c r="AW27" s="180"/>
      <c r="AX27" s="180"/>
      <c r="AY27" s="180"/>
      <c r="AZ27" s="181">
        <f t="shared" si="0"/>
        <v>0</v>
      </c>
      <c r="BA27" s="214"/>
      <c r="BB27" s="214"/>
      <c r="BC27" s="214"/>
      <c r="BD27" s="214"/>
      <c r="BE27" s="215"/>
      <c r="BF27" s="190"/>
      <c r="BJ27" s="1" t="s">
        <v>36</v>
      </c>
      <c r="BK27" s="1" t="s">
        <v>60</v>
      </c>
      <c r="BL27" s="1" t="s">
        <v>61</v>
      </c>
    </row>
    <row r="28" spans="1:64" ht="53.25" customHeight="1">
      <c r="A28" t="s">
        <v>21</v>
      </c>
      <c r="B28" s="45">
        <v>5</v>
      </c>
      <c r="C28" s="40"/>
      <c r="D28" s="43"/>
      <c r="E28" s="91"/>
      <c r="F28" s="43"/>
      <c r="G28" s="167"/>
      <c r="H28" s="66"/>
      <c r="I28" s="42"/>
      <c r="J28" s="87"/>
      <c r="K28" s="67"/>
      <c r="L28" s="146"/>
      <c r="M28" s="91">
        <v>0.5</v>
      </c>
      <c r="N28" s="146"/>
      <c r="O28" s="91">
        <v>1</v>
      </c>
      <c r="P28" s="146"/>
      <c r="Q28" s="91">
        <v>0.3</v>
      </c>
      <c r="R28" s="146"/>
      <c r="S28" s="91">
        <v>0.5</v>
      </c>
      <c r="T28" s="146"/>
      <c r="U28" s="91">
        <v>0.5</v>
      </c>
      <c r="V28" s="146"/>
      <c r="W28" s="174">
        <v>0.5</v>
      </c>
      <c r="X28" s="146"/>
      <c r="Y28" s="174">
        <v>1</v>
      </c>
      <c r="Z28" s="146"/>
      <c r="AA28" s="174">
        <v>0.5</v>
      </c>
      <c r="AB28" s="146"/>
      <c r="AC28" s="174">
        <v>1</v>
      </c>
      <c r="AD28" s="146"/>
      <c r="AE28" s="174">
        <v>1.5</v>
      </c>
      <c r="AF28" s="146"/>
      <c r="AG28" s="174">
        <v>0.5</v>
      </c>
      <c r="AH28" s="146"/>
      <c r="AI28" s="174">
        <v>0.5</v>
      </c>
      <c r="AJ28" s="146"/>
      <c r="AK28" s="174">
        <v>0.2</v>
      </c>
      <c r="AL28" s="146"/>
      <c r="AM28" s="174">
        <v>1</v>
      </c>
      <c r="AN28" s="146"/>
      <c r="AO28" s="91">
        <v>0.5</v>
      </c>
      <c r="AP28" s="146"/>
      <c r="AQ28" s="185">
        <v>0</v>
      </c>
      <c r="AR28" s="105"/>
      <c r="AS28" s="106"/>
      <c r="AT28" s="106"/>
      <c r="AU28" s="106"/>
      <c r="AV28" s="106"/>
      <c r="AW28" s="106"/>
      <c r="AX28" s="106"/>
      <c r="AY28" s="106"/>
      <c r="AZ28" s="107">
        <f t="shared" si="0"/>
        <v>0</v>
      </c>
      <c r="BA28" s="203"/>
      <c r="BB28" s="203"/>
      <c r="BC28" s="203"/>
      <c r="BD28" s="203"/>
      <c r="BE28" s="204"/>
      <c r="BF28" s="189"/>
      <c r="BJ28" t="s">
        <v>37</v>
      </c>
      <c r="BK28" t="s">
        <v>37</v>
      </c>
      <c r="BL28" t="s">
        <v>62</v>
      </c>
    </row>
    <row r="29" spans="1:64" ht="53.25" customHeight="1">
      <c r="A29" t="s">
        <v>21</v>
      </c>
      <c r="B29" s="45">
        <v>6</v>
      </c>
      <c r="C29" s="40"/>
      <c r="D29" s="64"/>
      <c r="E29" s="91"/>
      <c r="F29" s="43"/>
      <c r="G29" s="168"/>
      <c r="H29" s="65"/>
      <c r="I29" s="42"/>
      <c r="J29" s="87"/>
      <c r="K29" s="67"/>
      <c r="L29" s="148"/>
      <c r="M29" s="91">
        <v>0.5</v>
      </c>
      <c r="N29" s="146"/>
      <c r="O29" s="91">
        <v>1</v>
      </c>
      <c r="P29" s="146"/>
      <c r="Q29" s="91">
        <v>0.3</v>
      </c>
      <c r="R29" s="146"/>
      <c r="S29" s="91">
        <v>0.5</v>
      </c>
      <c r="T29" s="146"/>
      <c r="U29" s="91">
        <v>0.5</v>
      </c>
      <c r="V29" s="146"/>
      <c r="W29" s="174">
        <v>0.5</v>
      </c>
      <c r="X29" s="146"/>
      <c r="Y29" s="174">
        <v>1</v>
      </c>
      <c r="Z29" s="146"/>
      <c r="AA29" s="174">
        <v>0.5</v>
      </c>
      <c r="AB29" s="146"/>
      <c r="AC29" s="174">
        <v>1</v>
      </c>
      <c r="AD29" s="146"/>
      <c r="AE29" s="174">
        <v>1.5</v>
      </c>
      <c r="AF29" s="146"/>
      <c r="AG29" s="174">
        <v>0.5</v>
      </c>
      <c r="AH29" s="146"/>
      <c r="AI29" s="174">
        <v>0.5</v>
      </c>
      <c r="AJ29" s="146"/>
      <c r="AK29" s="174">
        <v>0.2</v>
      </c>
      <c r="AL29" s="146"/>
      <c r="AM29" s="174">
        <v>1</v>
      </c>
      <c r="AN29" s="146"/>
      <c r="AO29" s="91">
        <v>0.5</v>
      </c>
      <c r="AP29" s="146"/>
      <c r="AQ29" s="185">
        <v>0</v>
      </c>
      <c r="AR29" s="105"/>
      <c r="AS29" s="106"/>
      <c r="AT29" s="106"/>
      <c r="AU29" s="106"/>
      <c r="AV29" s="106"/>
      <c r="AW29" s="106"/>
      <c r="AX29" s="106"/>
      <c r="AY29" s="106"/>
      <c r="AZ29" s="107">
        <f t="shared" si="0"/>
        <v>0</v>
      </c>
      <c r="BA29" s="203"/>
      <c r="BB29" s="203"/>
      <c r="BC29" s="203"/>
      <c r="BD29" s="203"/>
      <c r="BE29" s="204"/>
      <c r="BF29" s="189"/>
      <c r="BJ29" t="s">
        <v>13</v>
      </c>
      <c r="BK29" t="s">
        <v>388</v>
      </c>
      <c r="BL29" t="s">
        <v>389</v>
      </c>
    </row>
    <row r="30" spans="1:64" ht="53.25" customHeight="1">
      <c r="A30" t="s">
        <v>21</v>
      </c>
      <c r="B30" s="45">
        <v>7</v>
      </c>
      <c r="C30" s="40"/>
      <c r="D30" s="41"/>
      <c r="E30" s="91"/>
      <c r="F30" s="43"/>
      <c r="G30" s="169"/>
      <c r="H30" s="65"/>
      <c r="I30" s="42"/>
      <c r="J30" s="87"/>
      <c r="K30" s="67"/>
      <c r="L30" s="146"/>
      <c r="M30" s="91">
        <v>0.5</v>
      </c>
      <c r="N30" s="146"/>
      <c r="O30" s="91">
        <v>1</v>
      </c>
      <c r="P30" s="146"/>
      <c r="Q30" s="91">
        <v>0.3</v>
      </c>
      <c r="R30" s="146"/>
      <c r="S30" s="91">
        <v>0.5</v>
      </c>
      <c r="T30" s="146"/>
      <c r="U30" s="91">
        <v>0.5</v>
      </c>
      <c r="V30" s="146"/>
      <c r="W30" s="174">
        <v>0.5</v>
      </c>
      <c r="X30" s="146"/>
      <c r="Y30" s="174">
        <v>1</v>
      </c>
      <c r="Z30" s="146"/>
      <c r="AA30" s="174">
        <v>0.5</v>
      </c>
      <c r="AB30" s="146"/>
      <c r="AC30" s="174">
        <v>1</v>
      </c>
      <c r="AD30" s="146"/>
      <c r="AE30" s="174">
        <v>1.5</v>
      </c>
      <c r="AF30" s="146"/>
      <c r="AG30" s="174">
        <v>0.5</v>
      </c>
      <c r="AH30" s="146"/>
      <c r="AI30" s="174">
        <v>0.5</v>
      </c>
      <c r="AJ30" s="146"/>
      <c r="AK30" s="174">
        <v>0.2</v>
      </c>
      <c r="AL30" s="146"/>
      <c r="AM30" s="174">
        <v>1</v>
      </c>
      <c r="AN30" s="146"/>
      <c r="AO30" s="91">
        <v>0.5</v>
      </c>
      <c r="AP30" s="146"/>
      <c r="AQ30" s="185">
        <v>0</v>
      </c>
      <c r="AR30" s="105"/>
      <c r="AS30" s="106"/>
      <c r="AT30" s="106"/>
      <c r="AU30" s="106"/>
      <c r="AV30" s="106"/>
      <c r="AW30" s="106"/>
      <c r="AX30" s="106"/>
      <c r="AY30" s="106"/>
      <c r="AZ30" s="107">
        <f t="shared" si="0"/>
        <v>0</v>
      </c>
      <c r="BA30" s="203"/>
      <c r="BB30" s="203"/>
      <c r="BC30" s="203"/>
      <c r="BD30" s="203"/>
      <c r="BE30" s="204"/>
      <c r="BF30" s="189"/>
      <c r="BJ30" t="s">
        <v>5</v>
      </c>
      <c r="BK30" t="s">
        <v>64</v>
      </c>
      <c r="BL30" t="s">
        <v>63</v>
      </c>
    </row>
    <row r="31" spans="1:64" ht="53.25" customHeight="1">
      <c r="A31" t="s">
        <v>21</v>
      </c>
      <c r="B31" s="45">
        <v>8</v>
      </c>
      <c r="C31" s="40"/>
      <c r="D31" s="43"/>
      <c r="E31" s="91"/>
      <c r="F31" s="43"/>
      <c r="G31" s="167"/>
      <c r="H31" s="66"/>
      <c r="I31" s="42"/>
      <c r="J31" s="87"/>
      <c r="K31" s="67"/>
      <c r="L31" s="148"/>
      <c r="M31" s="91">
        <v>0.5</v>
      </c>
      <c r="N31" s="146"/>
      <c r="O31" s="91">
        <v>1</v>
      </c>
      <c r="P31" s="146"/>
      <c r="Q31" s="91">
        <v>0.3</v>
      </c>
      <c r="R31" s="146"/>
      <c r="S31" s="91">
        <v>0.5</v>
      </c>
      <c r="T31" s="146"/>
      <c r="U31" s="91">
        <v>0.5</v>
      </c>
      <c r="V31" s="146"/>
      <c r="W31" s="174">
        <v>0.5</v>
      </c>
      <c r="X31" s="146"/>
      <c r="Y31" s="174">
        <v>1</v>
      </c>
      <c r="Z31" s="146"/>
      <c r="AA31" s="174">
        <v>0.5</v>
      </c>
      <c r="AB31" s="146"/>
      <c r="AC31" s="174">
        <v>1</v>
      </c>
      <c r="AD31" s="146"/>
      <c r="AE31" s="174">
        <v>1.5</v>
      </c>
      <c r="AF31" s="146"/>
      <c r="AG31" s="174">
        <v>0.5</v>
      </c>
      <c r="AH31" s="146"/>
      <c r="AI31" s="174">
        <v>0.5</v>
      </c>
      <c r="AJ31" s="146"/>
      <c r="AK31" s="174">
        <v>0.2</v>
      </c>
      <c r="AL31" s="146"/>
      <c r="AM31" s="174">
        <v>1</v>
      </c>
      <c r="AN31" s="146"/>
      <c r="AO31" s="91">
        <v>0.5</v>
      </c>
      <c r="AP31" s="146"/>
      <c r="AQ31" s="185">
        <v>0</v>
      </c>
      <c r="AR31" s="105"/>
      <c r="AS31" s="106"/>
      <c r="AT31" s="106"/>
      <c r="AU31" s="106"/>
      <c r="AV31" s="106"/>
      <c r="AW31" s="106"/>
      <c r="AX31" s="106"/>
      <c r="AY31" s="106"/>
      <c r="AZ31" s="107">
        <f t="shared" si="0"/>
        <v>0</v>
      </c>
      <c r="BA31" s="203"/>
      <c r="BB31" s="203"/>
      <c r="BC31" s="203"/>
      <c r="BD31" s="203"/>
      <c r="BE31" s="204"/>
      <c r="BF31" s="189"/>
      <c r="BJ31" t="s">
        <v>6</v>
      </c>
      <c r="BK31" t="s">
        <v>6</v>
      </c>
      <c r="BL31" t="s">
        <v>81</v>
      </c>
    </row>
    <row r="32" spans="1:64" ht="53.25" customHeight="1">
      <c r="A32" t="s">
        <v>21</v>
      </c>
      <c r="B32" s="45">
        <v>9</v>
      </c>
      <c r="C32" s="40"/>
      <c r="D32" s="43"/>
      <c r="E32" s="91"/>
      <c r="F32" s="43"/>
      <c r="G32" s="167"/>
      <c r="H32" s="66"/>
      <c r="I32" s="42"/>
      <c r="J32" s="87"/>
      <c r="K32" s="67"/>
      <c r="L32" s="146"/>
      <c r="M32" s="91">
        <v>0.5</v>
      </c>
      <c r="N32" s="146"/>
      <c r="O32" s="91">
        <v>1</v>
      </c>
      <c r="P32" s="146"/>
      <c r="Q32" s="91">
        <v>0.3</v>
      </c>
      <c r="R32" s="146"/>
      <c r="S32" s="91">
        <v>0.5</v>
      </c>
      <c r="T32" s="146"/>
      <c r="U32" s="91">
        <v>0.5</v>
      </c>
      <c r="V32" s="146"/>
      <c r="W32" s="174">
        <v>0.5</v>
      </c>
      <c r="X32" s="146"/>
      <c r="Y32" s="174">
        <v>1</v>
      </c>
      <c r="Z32" s="146"/>
      <c r="AA32" s="174">
        <v>0.5</v>
      </c>
      <c r="AB32" s="146"/>
      <c r="AC32" s="174">
        <v>1</v>
      </c>
      <c r="AD32" s="146"/>
      <c r="AE32" s="174">
        <v>1.5</v>
      </c>
      <c r="AF32" s="146"/>
      <c r="AG32" s="174">
        <v>0.5</v>
      </c>
      <c r="AH32" s="146"/>
      <c r="AI32" s="174">
        <v>0.5</v>
      </c>
      <c r="AJ32" s="146"/>
      <c r="AK32" s="174">
        <v>0.2</v>
      </c>
      <c r="AL32" s="146"/>
      <c r="AM32" s="174">
        <v>1</v>
      </c>
      <c r="AN32" s="146"/>
      <c r="AO32" s="91">
        <v>0.5</v>
      </c>
      <c r="AP32" s="146"/>
      <c r="AQ32" s="185">
        <v>0</v>
      </c>
      <c r="AR32" s="105"/>
      <c r="AS32" s="106"/>
      <c r="AT32" s="106"/>
      <c r="AU32" s="106"/>
      <c r="AV32" s="106"/>
      <c r="AW32" s="106"/>
      <c r="AX32" s="106"/>
      <c r="AY32" s="106"/>
      <c r="AZ32" s="107">
        <f t="shared" si="0"/>
        <v>0</v>
      </c>
      <c r="BA32" s="203"/>
      <c r="BB32" s="203"/>
      <c r="BC32" s="203"/>
      <c r="BD32" s="203"/>
      <c r="BE32" s="204"/>
      <c r="BF32" s="189"/>
      <c r="BJ32" t="s">
        <v>32</v>
      </c>
      <c r="BK32" t="s">
        <v>66</v>
      </c>
      <c r="BL32" t="s">
        <v>65</v>
      </c>
    </row>
    <row r="33" spans="1:64" ht="53.25" customHeight="1">
      <c r="A33" t="s">
        <v>21</v>
      </c>
      <c r="B33" s="45">
        <v>10</v>
      </c>
      <c r="C33" s="40"/>
      <c r="D33" s="56"/>
      <c r="E33" s="90"/>
      <c r="F33" s="43"/>
      <c r="G33" s="170"/>
      <c r="H33" s="66"/>
      <c r="I33" s="42"/>
      <c r="J33" s="87"/>
      <c r="K33" s="67"/>
      <c r="L33" s="145"/>
      <c r="M33" s="91">
        <v>0.5</v>
      </c>
      <c r="N33" s="146"/>
      <c r="O33" s="91">
        <v>1</v>
      </c>
      <c r="P33" s="146"/>
      <c r="Q33" s="91">
        <v>0.3</v>
      </c>
      <c r="R33" s="146"/>
      <c r="S33" s="91">
        <v>0.5</v>
      </c>
      <c r="T33" s="146"/>
      <c r="U33" s="91">
        <v>0.5</v>
      </c>
      <c r="V33" s="146"/>
      <c r="W33" s="174">
        <v>0.5</v>
      </c>
      <c r="X33" s="146"/>
      <c r="Y33" s="174">
        <v>1</v>
      </c>
      <c r="Z33" s="146"/>
      <c r="AA33" s="174">
        <v>0.5</v>
      </c>
      <c r="AB33" s="146"/>
      <c r="AC33" s="174">
        <v>1</v>
      </c>
      <c r="AD33" s="146"/>
      <c r="AE33" s="174">
        <v>1.5</v>
      </c>
      <c r="AF33" s="146"/>
      <c r="AG33" s="174">
        <v>0.5</v>
      </c>
      <c r="AH33" s="146"/>
      <c r="AI33" s="174">
        <v>0.5</v>
      </c>
      <c r="AJ33" s="146"/>
      <c r="AK33" s="174">
        <v>0.2</v>
      </c>
      <c r="AL33" s="146"/>
      <c r="AM33" s="174">
        <v>1</v>
      </c>
      <c r="AN33" s="146"/>
      <c r="AO33" s="91">
        <v>0.5</v>
      </c>
      <c r="AP33" s="146"/>
      <c r="AQ33" s="185">
        <v>0</v>
      </c>
      <c r="AR33" s="105"/>
      <c r="AS33" s="106"/>
      <c r="AT33" s="106"/>
      <c r="AU33" s="106"/>
      <c r="AV33" s="106"/>
      <c r="AW33" s="106"/>
      <c r="AX33" s="106"/>
      <c r="AY33" s="106"/>
      <c r="AZ33" s="107">
        <f t="shared" si="0"/>
        <v>0</v>
      </c>
      <c r="BA33" s="203"/>
      <c r="BB33" s="203"/>
      <c r="BC33" s="203"/>
      <c r="BD33" s="203"/>
      <c r="BE33" s="204"/>
      <c r="BF33" s="189"/>
      <c r="BJ33" t="s">
        <v>0</v>
      </c>
      <c r="BK33" t="s">
        <v>39</v>
      </c>
      <c r="BL33" t="s">
        <v>78</v>
      </c>
    </row>
    <row r="34" spans="1:64" ht="15.75" thickBot="1">
      <c r="B34" s="57" t="str">
        <f ca="1">OFFSET(BJ2,25,LEFT(CodeLang,1)-1)</f>
        <v>sous total</v>
      </c>
      <c r="C34" s="48"/>
      <c r="D34" s="48"/>
      <c r="E34" s="48"/>
      <c r="F34" s="48"/>
      <c r="G34" s="48"/>
      <c r="H34" s="48"/>
      <c r="I34" s="48"/>
      <c r="J34" s="88"/>
      <c r="K34" s="30"/>
      <c r="L34" s="49">
        <f t="shared" ref="L34:Q34" si="1">SUM(L24:L33)</f>
        <v>0</v>
      </c>
      <c r="M34" s="101">
        <f t="shared" si="1"/>
        <v>5</v>
      </c>
      <c r="N34" s="114">
        <f t="shared" si="1"/>
        <v>0</v>
      </c>
      <c r="O34" s="115">
        <f t="shared" si="1"/>
        <v>10</v>
      </c>
      <c r="P34" s="49">
        <f t="shared" si="1"/>
        <v>0</v>
      </c>
      <c r="Q34" s="101">
        <f t="shared" si="1"/>
        <v>2.9999999999999996</v>
      </c>
      <c r="R34" s="114">
        <f t="shared" ref="R34:AE34" si="2">SUM(R24:R33)</f>
        <v>0</v>
      </c>
      <c r="S34" s="115">
        <f t="shared" ref="S34" si="3">SUM(S24:S33)</f>
        <v>5</v>
      </c>
      <c r="T34" s="49">
        <f t="shared" si="2"/>
        <v>0</v>
      </c>
      <c r="U34" s="101">
        <f t="shared" si="2"/>
        <v>5</v>
      </c>
      <c r="V34" s="114">
        <f t="shared" ref="V34:Y34" si="4">SUM(V24:V33)</f>
        <v>0</v>
      </c>
      <c r="W34" s="115">
        <f t="shared" si="4"/>
        <v>5</v>
      </c>
      <c r="X34" s="49">
        <f t="shared" si="4"/>
        <v>0</v>
      </c>
      <c r="Y34" s="101">
        <f t="shared" si="4"/>
        <v>10</v>
      </c>
      <c r="Z34" s="114">
        <f t="shared" si="2"/>
        <v>0</v>
      </c>
      <c r="AA34" s="115">
        <f t="shared" si="2"/>
        <v>5</v>
      </c>
      <c r="AB34" s="49">
        <f t="shared" ref="AB34:AC34" si="5">SUM(AB24:AB33)</f>
        <v>0</v>
      </c>
      <c r="AC34" s="101">
        <f t="shared" si="5"/>
        <v>10</v>
      </c>
      <c r="AD34" s="114">
        <f t="shared" si="2"/>
        <v>0</v>
      </c>
      <c r="AE34" s="115">
        <f t="shared" si="2"/>
        <v>15</v>
      </c>
      <c r="AF34" s="49">
        <f t="shared" ref="AF34:AG34" si="6">SUM(AF24:AF33)</f>
        <v>0</v>
      </c>
      <c r="AG34" s="101">
        <f t="shared" si="6"/>
        <v>5</v>
      </c>
      <c r="AH34" s="114">
        <f t="shared" ref="AH34:AJ34" si="7">SUM(AH24:AH33)</f>
        <v>0</v>
      </c>
      <c r="AI34" s="115">
        <f t="shared" ref="AI34:AQ34" si="8">SUM(AI24:AI33)</f>
        <v>5</v>
      </c>
      <c r="AJ34" s="49">
        <f t="shared" si="7"/>
        <v>0</v>
      </c>
      <c r="AK34" s="101">
        <f t="shared" si="8"/>
        <v>1.9999999999999998</v>
      </c>
      <c r="AL34" s="114">
        <f t="shared" si="8"/>
        <v>0</v>
      </c>
      <c r="AM34" s="115">
        <f t="shared" si="8"/>
        <v>10</v>
      </c>
      <c r="AN34" s="49">
        <f t="shared" si="8"/>
        <v>0</v>
      </c>
      <c r="AO34" s="101">
        <f t="shared" si="8"/>
        <v>5</v>
      </c>
      <c r="AP34" s="114">
        <f t="shared" si="8"/>
        <v>0</v>
      </c>
      <c r="AQ34" s="101">
        <f t="shared" si="8"/>
        <v>0</v>
      </c>
      <c r="AR34" s="108"/>
      <c r="AS34" s="109"/>
      <c r="AT34" s="109"/>
      <c r="AU34" s="109"/>
      <c r="AV34" s="109"/>
      <c r="AW34" s="109"/>
      <c r="AX34" s="109"/>
      <c r="AY34" s="109"/>
      <c r="AZ34" s="110">
        <f t="shared" si="0"/>
        <v>0</v>
      </c>
      <c r="BA34" s="225"/>
      <c r="BB34" s="225"/>
      <c r="BC34" s="225"/>
      <c r="BD34" s="225"/>
      <c r="BE34" s="226"/>
      <c r="BF34" s="69"/>
      <c r="BJ34" t="s">
        <v>33</v>
      </c>
      <c r="BK34" t="s">
        <v>67</v>
      </c>
      <c r="BL34" t="s">
        <v>82</v>
      </c>
    </row>
    <row r="35" spans="1:64" ht="15.75" thickBot="1">
      <c r="B35" s="29" t="str">
        <f ca="1">OFFSET(BJ2,26,LEFT(CodeLang,1)-1)</f>
        <v>total</v>
      </c>
      <c r="C35" s="48"/>
      <c r="D35" s="48"/>
      <c r="E35" s="48"/>
      <c r="F35" s="48"/>
      <c r="G35" s="48"/>
      <c r="H35" s="48"/>
      <c r="I35" s="48"/>
      <c r="J35" s="88"/>
      <c r="K35" s="30"/>
      <c r="L35" s="49">
        <f t="shared" ref="L35:AQ35" si="9">L34</f>
        <v>0</v>
      </c>
      <c r="M35" s="102">
        <f t="shared" si="9"/>
        <v>5</v>
      </c>
      <c r="N35" s="116">
        <f t="shared" si="9"/>
        <v>0</v>
      </c>
      <c r="O35" s="117">
        <f t="shared" si="9"/>
        <v>10</v>
      </c>
      <c r="P35" s="49">
        <f t="shared" si="9"/>
        <v>0</v>
      </c>
      <c r="Q35" s="102">
        <f t="shared" si="9"/>
        <v>2.9999999999999996</v>
      </c>
      <c r="R35" s="116">
        <f t="shared" si="9"/>
        <v>0</v>
      </c>
      <c r="S35" s="117">
        <f t="shared" si="9"/>
        <v>5</v>
      </c>
      <c r="T35" s="49">
        <f t="shared" si="9"/>
        <v>0</v>
      </c>
      <c r="U35" s="102">
        <f t="shared" si="9"/>
        <v>5</v>
      </c>
      <c r="V35" s="116">
        <f t="shared" si="9"/>
        <v>0</v>
      </c>
      <c r="W35" s="117">
        <f t="shared" si="9"/>
        <v>5</v>
      </c>
      <c r="X35" s="49">
        <f t="shared" si="9"/>
        <v>0</v>
      </c>
      <c r="Y35" s="102">
        <f t="shared" si="9"/>
        <v>10</v>
      </c>
      <c r="Z35" s="116">
        <f t="shared" si="9"/>
        <v>0</v>
      </c>
      <c r="AA35" s="117">
        <f t="shared" si="9"/>
        <v>5</v>
      </c>
      <c r="AB35" s="49">
        <f t="shared" si="9"/>
        <v>0</v>
      </c>
      <c r="AC35" s="102">
        <f t="shared" si="9"/>
        <v>10</v>
      </c>
      <c r="AD35" s="116">
        <f t="shared" si="9"/>
        <v>0</v>
      </c>
      <c r="AE35" s="117">
        <f t="shared" si="9"/>
        <v>15</v>
      </c>
      <c r="AF35" s="49">
        <f t="shared" si="9"/>
        <v>0</v>
      </c>
      <c r="AG35" s="102">
        <f t="shared" si="9"/>
        <v>5</v>
      </c>
      <c r="AH35" s="116">
        <f t="shared" si="9"/>
        <v>0</v>
      </c>
      <c r="AI35" s="117">
        <f t="shared" si="9"/>
        <v>5</v>
      </c>
      <c r="AJ35" s="49">
        <f t="shared" si="9"/>
        <v>0</v>
      </c>
      <c r="AK35" s="102">
        <f t="shared" si="9"/>
        <v>1.9999999999999998</v>
      </c>
      <c r="AL35" s="116">
        <f t="shared" si="9"/>
        <v>0</v>
      </c>
      <c r="AM35" s="117">
        <f t="shared" si="9"/>
        <v>10</v>
      </c>
      <c r="AN35" s="49">
        <f t="shared" si="9"/>
        <v>0</v>
      </c>
      <c r="AO35" s="102">
        <f t="shared" si="9"/>
        <v>5</v>
      </c>
      <c r="AP35" s="116">
        <f t="shared" si="9"/>
        <v>0</v>
      </c>
      <c r="AQ35" s="102">
        <f t="shared" si="9"/>
        <v>0</v>
      </c>
      <c r="AR35" s="111"/>
      <c r="AS35" s="112"/>
      <c r="AT35" s="112"/>
      <c r="AU35" s="112"/>
      <c r="AV35" s="112"/>
      <c r="AW35" s="112"/>
      <c r="AX35" s="112"/>
      <c r="AY35" s="112"/>
      <c r="AZ35" s="113">
        <f>AZ34</f>
        <v>0</v>
      </c>
      <c r="BA35" s="225"/>
      <c r="BB35" s="225"/>
      <c r="BC35" s="225"/>
      <c r="BD35" s="225"/>
      <c r="BE35" s="226"/>
      <c r="BF35" s="70"/>
      <c r="BJ35" t="s">
        <v>7</v>
      </c>
      <c r="BK35" t="s">
        <v>69</v>
      </c>
      <c r="BL35" t="s">
        <v>68</v>
      </c>
    </row>
    <row r="36" spans="1:64">
      <c r="AP36" s="71"/>
      <c r="BJ36" t="s">
        <v>34</v>
      </c>
      <c r="BK36" t="s">
        <v>34</v>
      </c>
      <c r="BL36" t="s">
        <v>34</v>
      </c>
    </row>
    <row r="37" spans="1:64" ht="15.75" thickBot="1">
      <c r="C37" s="7" t="str">
        <f ca="1">OFFSET(BJ2,24,LEFT(CodeLang,1)-1)</f>
        <v>commentaire global</v>
      </c>
      <c r="BJ37" t="s">
        <v>11</v>
      </c>
      <c r="BK37" t="s">
        <v>71</v>
      </c>
      <c r="BL37" t="s">
        <v>70</v>
      </c>
    </row>
    <row r="38" spans="1:64">
      <c r="C38" s="216"/>
      <c r="D38" s="217"/>
      <c r="E38" s="217"/>
      <c r="F38" s="217"/>
      <c r="G38" s="217"/>
      <c r="H38" s="217"/>
      <c r="I38" s="217"/>
      <c r="J38" s="217"/>
      <c r="K38" s="218"/>
      <c r="BJ38" t="s">
        <v>17</v>
      </c>
      <c r="BK38" t="s">
        <v>72</v>
      </c>
      <c r="BL38" t="s">
        <v>73</v>
      </c>
    </row>
    <row r="39" spans="1:64">
      <c r="C39" s="219"/>
      <c r="D39" s="220"/>
      <c r="E39" s="220"/>
      <c r="F39" s="220"/>
      <c r="G39" s="220"/>
      <c r="H39" s="220"/>
      <c r="I39" s="220"/>
      <c r="J39" s="220"/>
      <c r="K39" s="221"/>
      <c r="BJ39" t="s">
        <v>106</v>
      </c>
      <c r="BK39" t="s">
        <v>106</v>
      </c>
      <c r="BL39" t="s">
        <v>106</v>
      </c>
    </row>
    <row r="40" spans="1:64">
      <c r="C40" s="219"/>
      <c r="D40" s="220"/>
      <c r="E40" s="220"/>
      <c r="F40" s="220"/>
      <c r="G40" s="220"/>
      <c r="H40" s="220"/>
      <c r="I40" s="220"/>
      <c r="J40" s="220"/>
      <c r="K40" s="221"/>
    </row>
    <row r="41" spans="1:64">
      <c r="C41" s="219"/>
      <c r="D41" s="220"/>
      <c r="E41" s="220"/>
      <c r="F41" s="220"/>
      <c r="G41" s="220"/>
      <c r="H41" s="220"/>
      <c r="I41" s="220"/>
      <c r="J41" s="220"/>
      <c r="K41" s="221"/>
    </row>
    <row r="42" spans="1:64">
      <c r="C42" s="219"/>
      <c r="D42" s="220"/>
      <c r="E42" s="220"/>
      <c r="F42" s="220"/>
      <c r="G42" s="220"/>
      <c r="H42" s="220"/>
      <c r="I42" s="220"/>
      <c r="J42" s="220"/>
      <c r="K42" s="221"/>
    </row>
    <row r="43" spans="1:64">
      <c r="C43" s="219"/>
      <c r="D43" s="220"/>
      <c r="E43" s="220"/>
      <c r="F43" s="220"/>
      <c r="G43" s="220"/>
      <c r="H43" s="220"/>
      <c r="I43" s="220"/>
      <c r="J43" s="220"/>
      <c r="K43" s="221"/>
      <c r="BJ43" s="149" t="s">
        <v>107</v>
      </c>
      <c r="BK43" t="s">
        <v>199</v>
      </c>
      <c r="BL43" t="s">
        <v>299</v>
      </c>
    </row>
    <row r="44" spans="1:64">
      <c r="C44" s="219"/>
      <c r="D44" s="220"/>
      <c r="E44" s="220"/>
      <c r="F44" s="220"/>
      <c r="G44" s="220"/>
      <c r="H44" s="220"/>
      <c r="I44" s="220"/>
      <c r="J44" s="220"/>
      <c r="K44" s="221"/>
      <c r="BJ44" s="150" t="s">
        <v>108</v>
      </c>
      <c r="BK44" t="s">
        <v>201</v>
      </c>
      <c r="BL44" t="s">
        <v>300</v>
      </c>
    </row>
    <row r="45" spans="1:64">
      <c r="C45" s="219"/>
      <c r="D45" s="220"/>
      <c r="E45" s="220"/>
      <c r="F45" s="220"/>
      <c r="G45" s="220"/>
      <c r="H45" s="220"/>
      <c r="I45" s="220"/>
      <c r="J45" s="220"/>
      <c r="K45" s="221"/>
      <c r="BJ45" s="150" t="s">
        <v>109</v>
      </c>
      <c r="BK45" t="s">
        <v>200</v>
      </c>
      <c r="BL45" t="s">
        <v>301</v>
      </c>
    </row>
    <row r="46" spans="1:64">
      <c r="C46" s="219"/>
      <c r="D46" s="220"/>
      <c r="E46" s="220"/>
      <c r="F46" s="220"/>
      <c r="G46" s="220"/>
      <c r="H46" s="220"/>
      <c r="I46" s="220"/>
      <c r="J46" s="220"/>
      <c r="K46" s="221"/>
      <c r="BJ46" s="151" t="s">
        <v>110</v>
      </c>
      <c r="BK46" t="s">
        <v>202</v>
      </c>
      <c r="BL46" t="s">
        <v>302</v>
      </c>
    </row>
    <row r="47" spans="1:64">
      <c r="C47" s="219"/>
      <c r="D47" s="220"/>
      <c r="E47" s="220"/>
      <c r="F47" s="220"/>
      <c r="G47" s="220"/>
      <c r="H47" s="220"/>
      <c r="I47" s="220"/>
      <c r="J47" s="220"/>
      <c r="K47" s="221"/>
    </row>
    <row r="48" spans="1:64">
      <c r="C48" s="219"/>
      <c r="D48" s="220"/>
      <c r="E48" s="220"/>
      <c r="F48" s="220"/>
      <c r="G48" s="220"/>
      <c r="H48" s="220"/>
      <c r="I48" s="220"/>
      <c r="J48" s="220"/>
      <c r="K48" s="221"/>
    </row>
    <row r="49" spans="3:64" ht="132.75" customHeight="1" thickBot="1">
      <c r="C49" s="222"/>
      <c r="D49" s="223"/>
      <c r="E49" s="223"/>
      <c r="F49" s="223"/>
      <c r="G49" s="223"/>
      <c r="H49" s="223"/>
      <c r="I49" s="223"/>
      <c r="J49" s="223"/>
      <c r="K49" s="224"/>
    </row>
    <row r="52" spans="3:64">
      <c r="BJ52" t="s">
        <v>111</v>
      </c>
      <c r="BK52" t="s">
        <v>203</v>
      </c>
      <c r="BL52" t="s">
        <v>303</v>
      </c>
    </row>
    <row r="53" spans="3:64">
      <c r="BJ53" t="s">
        <v>112</v>
      </c>
      <c r="BK53" t="s">
        <v>112</v>
      </c>
      <c r="BL53" t="s">
        <v>304</v>
      </c>
    </row>
    <row r="54" spans="3:64">
      <c r="BJ54" t="s">
        <v>113</v>
      </c>
      <c r="BK54" t="s">
        <v>204</v>
      </c>
      <c r="BL54" t="s">
        <v>306</v>
      </c>
    </row>
    <row r="55" spans="3:64">
      <c r="BJ55" t="s">
        <v>114</v>
      </c>
      <c r="BK55" t="s">
        <v>205</v>
      </c>
      <c r="BL55" t="s">
        <v>305</v>
      </c>
    </row>
    <row r="56" spans="3:64">
      <c r="BJ56" t="s">
        <v>15</v>
      </c>
      <c r="BK56" t="s">
        <v>214</v>
      </c>
      <c r="BL56" t="s">
        <v>307</v>
      </c>
    </row>
    <row r="57" spans="3:64">
      <c r="BJ57" t="s">
        <v>115</v>
      </c>
      <c r="BK57" t="s">
        <v>206</v>
      </c>
      <c r="BL57" t="s">
        <v>308</v>
      </c>
    </row>
    <row r="58" spans="3:64">
      <c r="BJ58" t="s">
        <v>116</v>
      </c>
      <c r="BK58" t="s">
        <v>207</v>
      </c>
      <c r="BL58" t="s">
        <v>309</v>
      </c>
    </row>
    <row r="59" spans="3:64">
      <c r="BJ59" t="s">
        <v>117</v>
      </c>
      <c r="BK59" t="s">
        <v>215</v>
      </c>
      <c r="BL59" t="s">
        <v>310</v>
      </c>
    </row>
    <row r="60" spans="3:64">
      <c r="BJ60" t="s">
        <v>118</v>
      </c>
      <c r="BK60" t="s">
        <v>216</v>
      </c>
      <c r="BL60" t="s">
        <v>311</v>
      </c>
    </row>
    <row r="61" spans="3:64">
      <c r="BJ61" t="s">
        <v>119</v>
      </c>
      <c r="BK61" t="s">
        <v>208</v>
      </c>
      <c r="BL61" t="s">
        <v>312</v>
      </c>
    </row>
    <row r="62" spans="3:64">
      <c r="BJ62" t="s">
        <v>120</v>
      </c>
      <c r="BK62" t="s">
        <v>209</v>
      </c>
      <c r="BL62" t="s">
        <v>313</v>
      </c>
    </row>
    <row r="63" spans="3:64">
      <c r="BJ63" t="s">
        <v>74</v>
      </c>
      <c r="BK63" t="s">
        <v>210</v>
      </c>
      <c r="BL63" t="s">
        <v>314</v>
      </c>
    </row>
    <row r="64" spans="3:64">
      <c r="BJ64" t="s">
        <v>121</v>
      </c>
      <c r="BK64" t="s">
        <v>211</v>
      </c>
      <c r="BL64" t="s">
        <v>315</v>
      </c>
    </row>
    <row r="65" spans="62:64">
      <c r="BJ65" t="s">
        <v>109</v>
      </c>
      <c r="BK65" t="s">
        <v>212</v>
      </c>
      <c r="BL65" t="s">
        <v>301</v>
      </c>
    </row>
    <row r="66" spans="62:64">
      <c r="BJ66" t="s">
        <v>122</v>
      </c>
      <c r="BK66" t="s">
        <v>213</v>
      </c>
      <c r="BL66" t="s">
        <v>316</v>
      </c>
    </row>
    <row r="67" spans="62:64">
      <c r="BJ67" t="s">
        <v>123</v>
      </c>
      <c r="BK67" t="s">
        <v>123</v>
      </c>
      <c r="BL67" t="s">
        <v>123</v>
      </c>
    </row>
  </sheetData>
  <mergeCells count="38">
    <mergeCell ref="Z22:AA22"/>
    <mergeCell ref="AB22:AC22"/>
    <mergeCell ref="AD22:AE22"/>
    <mergeCell ref="AF22:AG22"/>
    <mergeCell ref="L21:AA21"/>
    <mergeCell ref="AB21:AK21"/>
    <mergeCell ref="T22:U22"/>
    <mergeCell ref="V22:W22"/>
    <mergeCell ref="X22:Y22"/>
    <mergeCell ref="L22:M22"/>
    <mergeCell ref="N22:O22"/>
    <mergeCell ref="P22:Q22"/>
    <mergeCell ref="R22:S22"/>
    <mergeCell ref="AH22:AI22"/>
    <mergeCell ref="AJ22:AK22"/>
    <mergeCell ref="BA26:BE26"/>
    <mergeCell ref="BA33:BE33"/>
    <mergeCell ref="C38:K49"/>
    <mergeCell ref="BA35:BE35"/>
    <mergeCell ref="BA34:BE34"/>
    <mergeCell ref="BA27:BE27"/>
    <mergeCell ref="BA28:BE28"/>
    <mergeCell ref="BA29:BE29"/>
    <mergeCell ref="BA30:BE30"/>
    <mergeCell ref="BA31:BE31"/>
    <mergeCell ref="BA32:BE32"/>
    <mergeCell ref="AL22:AM22"/>
    <mergeCell ref="AX21:AY21"/>
    <mergeCell ref="AT21:AU21"/>
    <mergeCell ref="AV21:AW21"/>
    <mergeCell ref="AL21:AO21"/>
    <mergeCell ref="AP21:AQ21"/>
    <mergeCell ref="AP22:AQ22"/>
    <mergeCell ref="BF21:BF23"/>
    <mergeCell ref="AN22:AO22"/>
    <mergeCell ref="BA21:BE23"/>
    <mergeCell ref="BA24:BE24"/>
    <mergeCell ref="BA25:BE25"/>
  </mergeCells>
  <phoneticPr fontId="6" type="noConversion"/>
  <dataValidations count="1">
    <dataValidation type="date" operator="greaterThan" allowBlank="1" showInputMessage="1" showErrorMessage="1" errorTitle="Erreur" error="Date non valide" sqref="D11 D7" xr:uid="{731E7D2A-F40B-43A0-82B0-38DBB13D1B55}">
      <formula1>TODAY()-100</formula1>
    </dataValidation>
  </dataValidations>
  <pageMargins left="0.7" right="0.7" top="0.75" bottom="0.75" header="0.3" footer="0.3"/>
  <pageSetup paperSize="9" orientation="portrait" horizontalDpi="4294967295" verticalDpi="4294967295" r:id="rId1"/>
  <extLst>
    <ext xmlns:x14="http://schemas.microsoft.com/office/spreadsheetml/2009/9/main" uri="{CCE6A557-97BC-4b89-ADB6-D9C93CAAB3DF}">
      <x14:dataValidations xmlns:xm="http://schemas.microsoft.com/office/excel/2006/main" count="12">
        <x14:dataValidation type="list" allowBlank="1" showInputMessage="1" showErrorMessage="1" errorTitle="Erreur" error="Valeur non numérique ou non valide" xr:uid="{D78C78A1-A1EF-4DCB-8127-D2EEB62E6446}">
          <x14:formula1>
            <xm:f>Référentiel!$K$2:$K$4</xm:f>
          </x14:formula1>
          <xm:sqref>AN24:AN33</xm:sqref>
        </x14:dataValidation>
        <x14:dataValidation type="list" allowBlank="1" showInputMessage="1" showErrorMessage="1" errorTitle="Erreur" error="Valeur non numérique ou non valide" xr:uid="{82491D0E-31F4-41A5-B5ED-E661CCED8DAC}">
          <x14:formula1>
            <xm:f>Référentiel!$L$2</xm:f>
          </x14:formula1>
          <xm:sqref>AP24:AP33</xm:sqref>
        </x14:dataValidation>
        <x14:dataValidation type="list" allowBlank="1" showInputMessage="1" showErrorMessage="1" xr:uid="{DD53020F-D957-4E42-9FA6-EE11D1B5219F}">
          <x14:formula1>
            <xm:f>Référentiel!$A$2:$A$100</xm:f>
          </x14:formula1>
          <xm:sqref>D5</xm:sqref>
        </x14:dataValidation>
        <x14:dataValidation type="list" allowBlank="1" showInputMessage="1" showErrorMessage="1" xr:uid="{BB4A57B7-BA8D-41A8-AE5B-D80ADD0EC025}">
          <x14:formula1>
            <xm:f>Référentiel!$B$2:$B$100</xm:f>
          </x14:formula1>
          <xm:sqref>D4</xm:sqref>
        </x14:dataValidation>
        <x14:dataValidation type="list" allowBlank="1" showInputMessage="1" showErrorMessage="1" xr:uid="{3E0C0DAA-AD52-430E-A0F5-A839B7124CE6}">
          <x14:formula1>
            <xm:f>Référentiel!$C$2:$C$100</xm:f>
          </x14:formula1>
          <xm:sqref>D6</xm:sqref>
        </x14:dataValidation>
        <x14:dataValidation type="list" allowBlank="1" showInputMessage="1" showErrorMessage="1" errorTitle="Erreur" error="Valeur non numérique ou non valide" xr:uid="{C85B429B-3E6A-4BCF-A58B-ACDBE9766EFE}">
          <x14:formula1>
            <xm:f>Référentiel!$E$2:$E$4</xm:f>
          </x14:formula1>
          <xm:sqref>T24:T33 Z24:Z33 R24:R33 L24:L33 AH24:AH33</xm:sqref>
        </x14:dataValidation>
        <x14:dataValidation type="list" allowBlank="1" showInputMessage="1" showErrorMessage="1" errorTitle="Erreur" error="Valeur non numérique ou non valide" xr:uid="{F02D70C7-1C3C-4CA9-9599-3186D6656C99}">
          <x14:formula1>
            <xm:f>Référentiel!$F$2:$F$4</xm:f>
          </x14:formula1>
          <xm:sqref>X24:X33 AB24:AB33 N24:N33 AL24:AL33</xm:sqref>
        </x14:dataValidation>
        <x14:dataValidation type="list" allowBlank="1" showInputMessage="1" showErrorMessage="1" errorTitle="Erreur" error="Valeur non numérique ou non valide" xr:uid="{A46CB1E4-58BD-4F66-A235-F5A82E7B9630}">
          <x14:formula1>
            <xm:f>Référentiel!$G$2:$G$3</xm:f>
          </x14:formula1>
          <xm:sqref>P24:P33</xm:sqref>
        </x14:dataValidation>
        <x14:dataValidation type="list" allowBlank="1" showInputMessage="1" showErrorMessage="1" errorTitle="Erreur" error="Valeur non numérique ou non valide" xr:uid="{F6533521-D90F-4DAD-A00A-E75336A741C6}">
          <x14:formula1>
            <xm:f>Référentiel!$H$2:$H$3</xm:f>
          </x14:formula1>
          <xm:sqref>AF24:AF33</xm:sqref>
        </x14:dataValidation>
        <x14:dataValidation type="list" allowBlank="1" showInputMessage="1" showErrorMessage="1" errorTitle="Erreur" error="Valeur non numérique ou non valide" xr:uid="{F7637EA5-E3B7-4692-BF7D-832E69A8E240}">
          <x14:formula1>
            <xm:f>Référentiel!$I$2:$I$4</xm:f>
          </x14:formula1>
          <xm:sqref>AD24:AD33</xm:sqref>
        </x14:dataValidation>
        <x14:dataValidation type="list" allowBlank="1" showInputMessage="1" showErrorMessage="1" errorTitle="Erreur" error="Valeur non numérique ou non valide" xr:uid="{9487BDDD-9A92-4CE0-8B45-69E7833EEDD9}">
          <x14:formula1>
            <xm:f>Référentiel!$J$2:$J$3</xm:f>
          </x14:formula1>
          <xm:sqref>AJ24:AJ33</xm:sqref>
        </x14:dataValidation>
        <x14:dataValidation type="list" allowBlank="1" showInputMessage="1" showErrorMessage="1" errorTitle="Erreur" error="Valeur non numérique ou non valide" xr:uid="{889CDD01-0D69-4A8A-8590-BE6174379468}">
          <x14:formula1>
            <xm:f>Référentiel!$K$2:$K$5</xm:f>
          </x14:formula1>
          <xm:sqref>V24:V33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8DAA15-B5D5-45A6-B0DB-1EA7AFCB4F3F}">
  <dimension ref="A2:L15"/>
  <sheetViews>
    <sheetView workbookViewId="0">
      <selection activeCell="C11" sqref="C11"/>
    </sheetView>
  </sheetViews>
  <sheetFormatPr defaultColWidth="11.42578125" defaultRowHeight="15"/>
  <cols>
    <col min="3" max="3" width="19.85546875" customWidth="1"/>
  </cols>
  <sheetData>
    <row r="2" spans="1:12">
      <c r="A2" t="s">
        <v>83</v>
      </c>
      <c r="B2" t="s">
        <v>90</v>
      </c>
      <c r="C2" t="s">
        <v>97</v>
      </c>
      <c r="D2" t="s">
        <v>98</v>
      </c>
      <c r="E2">
        <v>0.5</v>
      </c>
      <c r="F2">
        <v>1</v>
      </c>
      <c r="G2">
        <v>0.3</v>
      </c>
      <c r="H2">
        <v>0.5</v>
      </c>
      <c r="I2">
        <v>1.5</v>
      </c>
      <c r="J2">
        <v>0.2</v>
      </c>
      <c r="K2">
        <v>0.5</v>
      </c>
      <c r="L2">
        <v>0.5</v>
      </c>
    </row>
    <row r="3" spans="1:12">
      <c r="A3" t="s">
        <v>84</v>
      </c>
      <c r="B3" t="s">
        <v>91</v>
      </c>
      <c r="C3" t="s">
        <v>99</v>
      </c>
      <c r="D3" t="s">
        <v>100</v>
      </c>
      <c r="E3">
        <v>0.2</v>
      </c>
      <c r="F3">
        <v>0.5</v>
      </c>
      <c r="G3">
        <v>0</v>
      </c>
      <c r="H3">
        <v>0</v>
      </c>
      <c r="I3">
        <v>0.75</v>
      </c>
      <c r="J3">
        <v>0</v>
      </c>
      <c r="K3">
        <v>0.25</v>
      </c>
    </row>
    <row r="4" spans="1:12">
      <c r="A4" t="s">
        <v>85</v>
      </c>
      <c r="B4" t="s">
        <v>92</v>
      </c>
      <c r="C4" t="s">
        <v>101</v>
      </c>
      <c r="E4">
        <v>0</v>
      </c>
      <c r="F4">
        <v>0</v>
      </c>
      <c r="I4">
        <v>0</v>
      </c>
      <c r="K4">
        <v>0</v>
      </c>
    </row>
    <row r="5" spans="1:12">
      <c r="A5" t="s">
        <v>86</v>
      </c>
      <c r="B5" t="s">
        <v>93</v>
      </c>
      <c r="C5" t="s">
        <v>411</v>
      </c>
    </row>
    <row r="6" spans="1:12">
      <c r="A6" t="s">
        <v>87</v>
      </c>
      <c r="B6" t="s">
        <v>24</v>
      </c>
      <c r="C6" t="s">
        <v>104</v>
      </c>
    </row>
    <row r="7" spans="1:12">
      <c r="A7" t="s">
        <v>88</v>
      </c>
      <c r="B7" t="s">
        <v>22</v>
      </c>
      <c r="C7" t="s">
        <v>384</v>
      </c>
    </row>
    <row r="8" spans="1:12">
      <c r="A8" t="s">
        <v>89</v>
      </c>
      <c r="B8" t="s">
        <v>23</v>
      </c>
      <c r="C8" t="s">
        <v>391</v>
      </c>
    </row>
    <row r="9" spans="1:12">
      <c r="A9" t="s">
        <v>102</v>
      </c>
      <c r="B9" t="s">
        <v>94</v>
      </c>
      <c r="C9" t="s">
        <v>409</v>
      </c>
    </row>
    <row r="10" spans="1:12">
      <c r="B10" t="s">
        <v>95</v>
      </c>
      <c r="C10" t="s">
        <v>410</v>
      </c>
    </row>
    <row r="11" spans="1:12">
      <c r="B11" t="s">
        <v>96</v>
      </c>
      <c r="C11" t="s">
        <v>413</v>
      </c>
    </row>
    <row r="12" spans="1:12">
      <c r="B12" t="s">
        <v>103</v>
      </c>
    </row>
    <row r="13" spans="1:12">
      <c r="B13" t="s">
        <v>105</v>
      </c>
    </row>
    <row r="14" spans="1:12">
      <c r="B14" t="s">
        <v>24</v>
      </c>
    </row>
    <row r="15" spans="1:12">
      <c r="B15" t="s">
        <v>382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359922-511C-4407-8363-0BC9C7FC05E6}">
  <dimension ref="B2:F118"/>
  <sheetViews>
    <sheetView topLeftCell="A100" zoomScale="85" zoomScaleNormal="85" workbookViewId="0">
      <selection activeCell="B94" sqref="B94:C94"/>
    </sheetView>
  </sheetViews>
  <sheetFormatPr defaultColWidth="11.42578125" defaultRowHeight="15"/>
  <cols>
    <col min="2" max="2" width="21.7109375" customWidth="1"/>
    <col min="3" max="3" width="71.140625" customWidth="1"/>
    <col min="4" max="4" width="19.140625" customWidth="1"/>
    <col min="5" max="5" width="15.42578125" customWidth="1"/>
    <col min="6" max="6" width="11.42578125" hidden="1" customWidth="1"/>
  </cols>
  <sheetData>
    <row r="2" spans="2:6">
      <c r="D2" s="5"/>
      <c r="E2" s="5"/>
      <c r="F2" s="118"/>
    </row>
    <row r="3" spans="2:6">
      <c r="C3" s="261" t="s">
        <v>124</v>
      </c>
      <c r="D3" s="5"/>
      <c r="E3" s="5"/>
      <c r="F3" s="118"/>
    </row>
    <row r="4" spans="2:6">
      <c r="C4" s="261"/>
      <c r="D4" s="5"/>
      <c r="E4" s="5"/>
      <c r="F4" s="118"/>
    </row>
    <row r="5" spans="2:6">
      <c r="D5" s="5"/>
      <c r="E5" s="5"/>
      <c r="F5" s="118"/>
    </row>
    <row r="6" spans="2:6">
      <c r="D6" s="5"/>
      <c r="E6" s="5"/>
      <c r="F6" s="118"/>
    </row>
    <row r="7" spans="2:6">
      <c r="B7" s="262" t="s">
        <v>125</v>
      </c>
      <c r="C7" s="262"/>
      <c r="D7" s="262"/>
      <c r="E7" s="262"/>
      <c r="F7" s="118"/>
    </row>
    <row r="8" spans="2:6">
      <c r="D8" s="119"/>
      <c r="E8" s="119"/>
    </row>
    <row r="9" spans="2:6">
      <c r="B9" s="256" t="s">
        <v>167</v>
      </c>
      <c r="C9" s="256"/>
      <c r="D9" s="256"/>
      <c r="E9" s="256"/>
    </row>
    <row r="10" spans="2:6">
      <c r="B10" s="141"/>
      <c r="C10" s="141"/>
      <c r="D10" s="141"/>
      <c r="E10" s="141"/>
    </row>
    <row r="11" spans="2:6" ht="30.75" thickBot="1">
      <c r="B11" s="120" t="s">
        <v>111</v>
      </c>
      <c r="C11" s="121"/>
      <c r="D11" s="122" t="s">
        <v>126</v>
      </c>
      <c r="E11" s="123" t="s">
        <v>127</v>
      </c>
      <c r="F11" s="123" t="s">
        <v>128</v>
      </c>
    </row>
    <row r="12" spans="2:6" ht="17.25" customHeight="1" thickBot="1">
      <c r="B12" s="267" t="s">
        <v>160</v>
      </c>
      <c r="C12" s="268"/>
      <c r="D12" s="124" t="s">
        <v>129</v>
      </c>
      <c r="E12" s="124" t="s">
        <v>129</v>
      </c>
      <c r="F12" s="118"/>
    </row>
    <row r="13" spans="2:6" ht="30.75" customHeight="1" thickBot="1">
      <c r="B13" s="265" t="s">
        <v>159</v>
      </c>
      <c r="C13" s="266"/>
      <c r="D13" s="125" t="s">
        <v>130</v>
      </c>
      <c r="E13" s="125">
        <v>0.5</v>
      </c>
      <c r="F13" s="126">
        <v>5</v>
      </c>
    </row>
    <row r="14" spans="2:6" ht="36" customHeight="1" thickBot="1">
      <c r="B14" s="269" t="s">
        <v>161</v>
      </c>
      <c r="C14" s="270"/>
      <c r="D14" s="127" t="s">
        <v>131</v>
      </c>
      <c r="E14" s="127">
        <v>0.2</v>
      </c>
      <c r="F14" s="126">
        <v>2</v>
      </c>
    </row>
    <row r="15" spans="2:6" ht="17.25" thickBot="1">
      <c r="B15" s="232" t="s">
        <v>177</v>
      </c>
      <c r="C15" s="233"/>
      <c r="D15" s="128" t="s">
        <v>132</v>
      </c>
      <c r="E15" s="128">
        <v>0</v>
      </c>
      <c r="F15" s="126">
        <v>0</v>
      </c>
    </row>
    <row r="16" spans="2:6" ht="44.25" customHeight="1" thickBot="1">
      <c r="B16" s="263" t="s">
        <v>133</v>
      </c>
      <c r="C16" s="264"/>
      <c r="D16" s="139" t="s">
        <v>134</v>
      </c>
      <c r="E16" s="139" t="s">
        <v>135</v>
      </c>
      <c r="F16" s="129">
        <v>-100</v>
      </c>
    </row>
    <row r="17" spans="2:6" ht="16.5">
      <c r="B17" s="130"/>
      <c r="C17" s="131"/>
      <c r="D17" s="132"/>
      <c r="E17" s="132"/>
      <c r="F17" s="118"/>
    </row>
    <row r="18" spans="2:6" ht="16.5" thickBot="1">
      <c r="B18" s="242" t="s">
        <v>112</v>
      </c>
      <c r="C18" s="242"/>
      <c r="D18" s="133" t="s">
        <v>126</v>
      </c>
      <c r="E18" s="133" t="s">
        <v>136</v>
      </c>
      <c r="F18" s="118"/>
    </row>
    <row r="19" spans="2:6" ht="104.25" customHeight="1" thickBot="1">
      <c r="B19" s="275" t="s">
        <v>393</v>
      </c>
      <c r="C19" s="276"/>
      <c r="D19" s="125" t="s">
        <v>130</v>
      </c>
      <c r="E19" s="125">
        <v>1</v>
      </c>
      <c r="F19" s="126">
        <v>10</v>
      </c>
    </row>
    <row r="20" spans="2:6" ht="118.5" customHeight="1" thickBot="1">
      <c r="B20" s="277" t="s">
        <v>394</v>
      </c>
      <c r="C20" s="278"/>
      <c r="D20" s="127" t="s">
        <v>131</v>
      </c>
      <c r="E20" s="127">
        <v>0.5</v>
      </c>
      <c r="F20" s="126">
        <v>5</v>
      </c>
    </row>
    <row r="21" spans="2:6" ht="65.25" customHeight="1" thickBot="1">
      <c r="B21" s="272" t="s">
        <v>395</v>
      </c>
      <c r="C21" s="273"/>
      <c r="D21" s="140" t="s">
        <v>134</v>
      </c>
      <c r="E21" s="140" t="s">
        <v>135</v>
      </c>
      <c r="F21" s="5">
        <v>-100</v>
      </c>
    </row>
    <row r="22" spans="2:6" ht="16.5">
      <c r="B22" s="130"/>
      <c r="C22" s="131"/>
      <c r="D22" s="132"/>
      <c r="E22" s="132"/>
    </row>
    <row r="23" spans="2:6" ht="16.5" thickBot="1">
      <c r="B23" s="274" t="s">
        <v>113</v>
      </c>
      <c r="C23" s="274"/>
      <c r="D23" s="133" t="s">
        <v>126</v>
      </c>
      <c r="E23" s="133" t="s">
        <v>136</v>
      </c>
    </row>
    <row r="24" spans="2:6" ht="23.25" customHeight="1" thickBot="1">
      <c r="B24" s="279" t="s">
        <v>163</v>
      </c>
      <c r="C24" s="280"/>
      <c r="D24" s="124" t="s">
        <v>129</v>
      </c>
      <c r="E24" s="124" t="s">
        <v>129</v>
      </c>
    </row>
    <row r="25" spans="2:6" ht="30.75" customHeight="1" thickBot="1">
      <c r="B25" s="265" t="s">
        <v>162</v>
      </c>
      <c r="C25" s="266"/>
      <c r="D25" s="125" t="s">
        <v>137</v>
      </c>
      <c r="E25" s="125">
        <v>0.3</v>
      </c>
      <c r="F25" s="5">
        <v>3</v>
      </c>
    </row>
    <row r="26" spans="2:6" ht="51.95" customHeight="1" thickBot="1">
      <c r="B26" s="232" t="s">
        <v>197</v>
      </c>
      <c r="C26" s="233"/>
      <c r="D26" s="128" t="s">
        <v>138</v>
      </c>
      <c r="E26" s="128">
        <v>0</v>
      </c>
      <c r="F26" s="5">
        <v>0</v>
      </c>
    </row>
    <row r="27" spans="2:6" ht="29.25" customHeight="1" thickBot="1">
      <c r="B27" s="240" t="s">
        <v>139</v>
      </c>
      <c r="C27" s="241"/>
      <c r="D27" s="139" t="s">
        <v>134</v>
      </c>
      <c r="E27" s="139" t="s">
        <v>135</v>
      </c>
      <c r="F27" s="5">
        <v>-100</v>
      </c>
    </row>
    <row r="28" spans="2:6" ht="16.5">
      <c r="B28" s="130"/>
      <c r="C28" s="131"/>
      <c r="D28" s="132"/>
      <c r="E28" s="132"/>
    </row>
    <row r="29" spans="2:6" ht="16.5" thickBot="1">
      <c r="B29" s="242" t="s">
        <v>114</v>
      </c>
      <c r="C29" s="242"/>
      <c r="D29" s="133" t="s">
        <v>126</v>
      </c>
      <c r="E29" s="133" t="s">
        <v>136</v>
      </c>
    </row>
    <row r="30" spans="2:6" ht="90" customHeight="1" thickBot="1">
      <c r="B30" s="234" t="s">
        <v>194</v>
      </c>
      <c r="C30" s="235"/>
      <c r="D30" s="125" t="s">
        <v>140</v>
      </c>
      <c r="E30" s="125">
        <v>0.5</v>
      </c>
      <c r="F30" s="5">
        <v>5</v>
      </c>
    </row>
    <row r="31" spans="2:6" ht="17.25" thickBot="1">
      <c r="B31" s="236" t="s">
        <v>193</v>
      </c>
      <c r="C31" s="237"/>
      <c r="D31" s="127" t="s">
        <v>131</v>
      </c>
      <c r="E31" s="127">
        <v>0.2</v>
      </c>
      <c r="F31" s="5">
        <v>2</v>
      </c>
    </row>
    <row r="32" spans="2:6" ht="30.75" customHeight="1" thickBot="1">
      <c r="B32" s="238" t="s">
        <v>192</v>
      </c>
      <c r="C32" s="239"/>
      <c r="D32" s="128" t="s">
        <v>141</v>
      </c>
      <c r="E32" s="128">
        <v>0</v>
      </c>
      <c r="F32" s="5">
        <v>0</v>
      </c>
    </row>
    <row r="33" spans="2:6" ht="16.5">
      <c r="B33" s="130"/>
      <c r="C33" s="131"/>
      <c r="D33" s="132"/>
      <c r="E33" s="132"/>
      <c r="F33" s="118"/>
    </row>
    <row r="34" spans="2:6" ht="16.5" thickBot="1">
      <c r="B34" s="242" t="s">
        <v>15</v>
      </c>
      <c r="C34" s="242"/>
      <c r="D34" s="133" t="s">
        <v>126</v>
      </c>
      <c r="E34" s="133" t="s">
        <v>136</v>
      </c>
      <c r="F34" s="118"/>
    </row>
    <row r="35" spans="2:6" ht="49.5" customHeight="1" thickBot="1">
      <c r="B35" s="243" t="s">
        <v>142</v>
      </c>
      <c r="C35" s="244"/>
      <c r="D35" s="125" t="s">
        <v>130</v>
      </c>
      <c r="E35" s="125">
        <v>0.5</v>
      </c>
      <c r="F35" s="5">
        <v>5</v>
      </c>
    </row>
    <row r="36" spans="2:6" ht="17.25" thickBot="1">
      <c r="B36" s="236" t="s">
        <v>196</v>
      </c>
      <c r="C36" s="237"/>
      <c r="D36" s="127" t="s">
        <v>131</v>
      </c>
      <c r="E36" s="127">
        <v>0.2</v>
      </c>
      <c r="F36" s="5">
        <v>2</v>
      </c>
    </row>
    <row r="37" spans="2:6" ht="44.25" customHeight="1" thickBot="1">
      <c r="B37" s="238" t="s">
        <v>165</v>
      </c>
      <c r="C37" s="239"/>
      <c r="D37" s="128" t="s">
        <v>141</v>
      </c>
      <c r="E37" s="128">
        <v>0</v>
      </c>
      <c r="F37" s="5"/>
    </row>
    <row r="38" spans="2:6" ht="33.75" customHeight="1" thickBot="1">
      <c r="B38" s="240" t="s">
        <v>164</v>
      </c>
      <c r="C38" s="241"/>
      <c r="D38" s="140" t="s">
        <v>134</v>
      </c>
      <c r="E38" s="140" t="s">
        <v>135</v>
      </c>
      <c r="F38" s="5">
        <v>-100</v>
      </c>
    </row>
    <row r="39" spans="2:6">
      <c r="D39" s="5"/>
      <c r="E39" s="5"/>
    </row>
    <row r="40" spans="2:6" ht="16.5" thickBot="1">
      <c r="B40" s="271" t="s">
        <v>115</v>
      </c>
      <c r="C40" s="271"/>
      <c r="D40" s="133" t="s">
        <v>126</v>
      </c>
      <c r="E40" s="133" t="s">
        <v>136</v>
      </c>
    </row>
    <row r="41" spans="2:6" ht="49.5" customHeight="1" thickBot="1">
      <c r="B41" s="243" t="s">
        <v>198</v>
      </c>
      <c r="C41" s="244"/>
      <c r="D41" s="125" t="s">
        <v>130</v>
      </c>
      <c r="E41" s="125">
        <v>0.5</v>
      </c>
      <c r="F41" s="5">
        <v>5</v>
      </c>
    </row>
    <row r="42" spans="2:6" ht="49.5" customHeight="1" thickBot="1">
      <c r="B42" s="284" t="s">
        <v>390</v>
      </c>
      <c r="C42" s="278"/>
      <c r="D42" s="184" t="s">
        <v>131</v>
      </c>
      <c r="E42" s="184">
        <v>0.25</v>
      </c>
      <c r="F42" s="5"/>
    </row>
    <row r="43" spans="2:6" ht="17.25" thickBot="1">
      <c r="B43" s="238" t="s">
        <v>178</v>
      </c>
      <c r="C43" s="239"/>
      <c r="D43" s="128" t="s">
        <v>143</v>
      </c>
      <c r="E43" s="128">
        <v>0</v>
      </c>
      <c r="F43" s="5">
        <v>0</v>
      </c>
    </row>
    <row r="44" spans="2:6">
      <c r="D44" s="5"/>
      <c r="E44" s="5"/>
    </row>
    <row r="45" spans="2:6" ht="16.5" thickBot="1">
      <c r="B45" s="242" t="s">
        <v>116</v>
      </c>
      <c r="C45" s="242"/>
      <c r="D45" s="133" t="s">
        <v>126</v>
      </c>
      <c r="E45" s="133" t="s">
        <v>136</v>
      </c>
    </row>
    <row r="46" spans="2:6" ht="51" customHeight="1" thickBot="1">
      <c r="B46" s="282" t="s">
        <v>166</v>
      </c>
      <c r="C46" s="283"/>
      <c r="D46" s="125" t="s">
        <v>130</v>
      </c>
      <c r="E46" s="125">
        <v>1</v>
      </c>
      <c r="F46" s="5">
        <v>10</v>
      </c>
    </row>
    <row r="47" spans="2:6" ht="42" customHeight="1" thickBot="1">
      <c r="B47" s="257" t="s">
        <v>179</v>
      </c>
      <c r="C47" s="258"/>
      <c r="D47" s="127" t="s">
        <v>131</v>
      </c>
      <c r="E47" s="127">
        <v>0.5</v>
      </c>
      <c r="F47" s="5">
        <v>5</v>
      </c>
    </row>
    <row r="48" spans="2:6" ht="17.25" thickBot="1">
      <c r="B48" s="259" t="s">
        <v>180</v>
      </c>
      <c r="C48" s="260"/>
      <c r="D48" s="128" t="s">
        <v>143</v>
      </c>
      <c r="E48" s="128">
        <v>0</v>
      </c>
      <c r="F48" s="5">
        <v>0</v>
      </c>
    </row>
    <row r="49" spans="2:6" ht="15.75" thickBot="1">
      <c r="B49" s="240" t="s">
        <v>175</v>
      </c>
      <c r="C49" s="241"/>
      <c r="D49" s="139" t="s">
        <v>134</v>
      </c>
      <c r="E49" s="139" t="s">
        <v>135</v>
      </c>
      <c r="F49" s="5">
        <v>-100</v>
      </c>
    </row>
    <row r="50" spans="2:6">
      <c r="D50" s="5"/>
      <c r="E50" s="5"/>
    </row>
    <row r="51" spans="2:6" ht="16.5" thickBot="1">
      <c r="B51" s="242" t="s">
        <v>117</v>
      </c>
      <c r="C51" s="242"/>
      <c r="D51" s="133" t="s">
        <v>126</v>
      </c>
      <c r="E51" s="133" t="s">
        <v>136</v>
      </c>
    </row>
    <row r="52" spans="2:6" ht="65.25" customHeight="1" thickBot="1">
      <c r="B52" s="281" t="s">
        <v>144</v>
      </c>
      <c r="C52" s="235"/>
      <c r="D52" s="125" t="s">
        <v>130</v>
      </c>
      <c r="E52" s="125">
        <v>0.5</v>
      </c>
      <c r="F52" s="5">
        <v>5</v>
      </c>
    </row>
    <row r="53" spans="2:6" ht="50.25" customHeight="1" thickBot="1">
      <c r="B53" s="248" t="s">
        <v>181</v>
      </c>
      <c r="C53" s="237"/>
      <c r="D53" s="127" t="s">
        <v>131</v>
      </c>
      <c r="E53" s="127">
        <v>0.2</v>
      </c>
      <c r="F53" s="5">
        <v>2</v>
      </c>
    </row>
    <row r="54" spans="2:6" ht="33.75" customHeight="1" thickBot="1">
      <c r="B54" s="246" t="s">
        <v>182</v>
      </c>
      <c r="C54" s="247"/>
      <c r="D54" s="128" t="s">
        <v>132</v>
      </c>
      <c r="E54" s="128">
        <v>0</v>
      </c>
      <c r="F54" s="5">
        <v>0</v>
      </c>
    </row>
    <row r="55" spans="2:6">
      <c r="D55" s="5"/>
      <c r="E55" s="5"/>
    </row>
    <row r="56" spans="2:6">
      <c r="B56" s="256" t="s">
        <v>168</v>
      </c>
      <c r="C56" s="256"/>
      <c r="D56" s="256"/>
      <c r="E56" s="256"/>
    </row>
    <row r="57" spans="2:6" s="1" customFormat="1">
      <c r="B57" s="141"/>
      <c r="C57" s="141"/>
      <c r="D57" s="141"/>
      <c r="E57" s="141"/>
    </row>
    <row r="58" spans="2:6" ht="16.5" thickBot="1">
      <c r="B58" s="242" t="s">
        <v>118</v>
      </c>
      <c r="C58" s="242"/>
      <c r="D58" s="133" t="s">
        <v>126</v>
      </c>
      <c r="E58" s="133" t="s">
        <v>136</v>
      </c>
    </row>
    <row r="59" spans="2:6" ht="43.5" customHeight="1" thickBot="1">
      <c r="B59" s="251" t="s">
        <v>169</v>
      </c>
      <c r="C59" s="244"/>
      <c r="D59" s="125" t="s">
        <v>140</v>
      </c>
      <c r="E59" s="125">
        <v>1</v>
      </c>
      <c r="F59" s="5">
        <v>10</v>
      </c>
    </row>
    <row r="60" spans="2:6" ht="50.25" customHeight="1" thickBot="1">
      <c r="B60" s="248" t="s">
        <v>183</v>
      </c>
      <c r="C60" s="237"/>
      <c r="D60" s="127" t="s">
        <v>131</v>
      </c>
      <c r="E60" s="127">
        <v>0.5</v>
      </c>
      <c r="F60" s="5">
        <v>5</v>
      </c>
    </row>
    <row r="61" spans="2:6" ht="33.75" customHeight="1" thickBot="1">
      <c r="B61" s="246" t="s">
        <v>190</v>
      </c>
      <c r="C61" s="247"/>
      <c r="D61" s="128" t="s">
        <v>145</v>
      </c>
      <c r="E61" s="128">
        <v>0</v>
      </c>
      <c r="F61" s="5">
        <v>0</v>
      </c>
    </row>
    <row r="62" spans="2:6" ht="15.75" thickBot="1">
      <c r="B62" s="249" t="s">
        <v>146</v>
      </c>
      <c r="C62" s="250"/>
      <c r="D62" s="140" t="s">
        <v>134</v>
      </c>
      <c r="E62" s="140" t="s">
        <v>135</v>
      </c>
      <c r="F62" s="5"/>
    </row>
    <row r="64" spans="2:6" ht="16.5" thickBot="1">
      <c r="B64" s="242" t="s">
        <v>119</v>
      </c>
      <c r="C64" s="242"/>
      <c r="D64" s="133" t="s">
        <v>126</v>
      </c>
      <c r="E64" s="133" t="s">
        <v>136</v>
      </c>
    </row>
    <row r="65" spans="2:6" ht="36.75" customHeight="1" thickBot="1">
      <c r="B65" s="243" t="s">
        <v>147</v>
      </c>
      <c r="C65" s="244"/>
      <c r="D65" s="125" t="s">
        <v>140</v>
      </c>
      <c r="E65" s="125">
        <v>1.5</v>
      </c>
      <c r="F65" s="5">
        <v>15</v>
      </c>
    </row>
    <row r="66" spans="2:6" ht="33.75" customHeight="1" thickBot="1">
      <c r="B66" s="236" t="s">
        <v>184</v>
      </c>
      <c r="C66" s="237"/>
      <c r="D66" s="127" t="s">
        <v>148</v>
      </c>
      <c r="E66" s="127">
        <v>0.75</v>
      </c>
      <c r="F66" s="5">
        <v>7.5</v>
      </c>
    </row>
    <row r="67" spans="2:6" ht="33.75" customHeight="1" thickBot="1">
      <c r="B67" s="238" t="s">
        <v>195</v>
      </c>
      <c r="C67" s="239"/>
      <c r="D67" s="128" t="s">
        <v>145</v>
      </c>
      <c r="E67" s="128">
        <v>0</v>
      </c>
      <c r="F67" s="5">
        <v>0</v>
      </c>
    </row>
    <row r="68" spans="2:6" ht="48" customHeight="1" thickBot="1">
      <c r="B68" s="240" t="s">
        <v>149</v>
      </c>
      <c r="C68" s="245"/>
      <c r="D68" s="140" t="s">
        <v>134</v>
      </c>
      <c r="E68" s="139" t="s">
        <v>135</v>
      </c>
      <c r="F68" s="5">
        <v>-100</v>
      </c>
    </row>
    <row r="70" spans="2:6" ht="16.5" thickBot="1">
      <c r="B70" s="242" t="s">
        <v>150</v>
      </c>
      <c r="C70" s="242"/>
      <c r="D70" s="133" t="s">
        <v>126</v>
      </c>
      <c r="E70" s="133" t="s">
        <v>136</v>
      </c>
    </row>
    <row r="71" spans="2:6" ht="39.75" customHeight="1" thickBot="1">
      <c r="B71" s="234" t="s">
        <v>151</v>
      </c>
      <c r="C71" s="235"/>
      <c r="D71" s="125" t="s">
        <v>140</v>
      </c>
      <c r="E71" s="125">
        <v>0.5</v>
      </c>
      <c r="F71" s="5">
        <v>5</v>
      </c>
    </row>
    <row r="72" spans="2:6" ht="33.75" customHeight="1" thickBot="1">
      <c r="B72" s="238" t="s">
        <v>185</v>
      </c>
      <c r="C72" s="239"/>
      <c r="D72" s="128" t="s">
        <v>145</v>
      </c>
      <c r="E72" s="128">
        <v>0</v>
      </c>
      <c r="F72" s="5">
        <v>0</v>
      </c>
    </row>
    <row r="74" spans="2:6" ht="16.5" thickBot="1">
      <c r="B74" s="242" t="s">
        <v>386</v>
      </c>
      <c r="C74" s="242"/>
      <c r="D74" s="133" t="s">
        <v>126</v>
      </c>
      <c r="E74" s="133" t="s">
        <v>136</v>
      </c>
    </row>
    <row r="75" spans="2:6" ht="43.5" customHeight="1" thickBot="1">
      <c r="B75" s="234" t="s">
        <v>385</v>
      </c>
      <c r="C75" s="235"/>
      <c r="D75" s="125" t="s">
        <v>140</v>
      </c>
      <c r="E75" s="125">
        <v>0.5</v>
      </c>
      <c r="F75" s="5">
        <v>5</v>
      </c>
    </row>
    <row r="76" spans="2:6" ht="63.75" customHeight="1" thickBot="1">
      <c r="B76" s="236" t="s">
        <v>387</v>
      </c>
      <c r="C76" s="237"/>
      <c r="D76" s="127" t="s">
        <v>131</v>
      </c>
      <c r="E76" s="127">
        <v>0.2</v>
      </c>
      <c r="F76" s="5"/>
    </row>
    <row r="77" spans="2:6" ht="33.75" customHeight="1" thickBot="1">
      <c r="B77" s="238" t="s">
        <v>186</v>
      </c>
      <c r="C77" s="239"/>
      <c r="D77" s="128" t="s">
        <v>145</v>
      </c>
      <c r="E77" s="128">
        <v>0</v>
      </c>
      <c r="F77" s="5">
        <v>0</v>
      </c>
    </row>
    <row r="78" spans="2:6" ht="16.5">
      <c r="B78" s="134"/>
      <c r="C78" s="134"/>
      <c r="D78" s="135"/>
      <c r="E78" s="135"/>
      <c r="F78" s="5"/>
    </row>
    <row r="79" spans="2:6" ht="16.5" thickBot="1">
      <c r="B79" s="242" t="s">
        <v>152</v>
      </c>
      <c r="C79" s="242"/>
      <c r="D79" s="133" t="s">
        <v>126</v>
      </c>
      <c r="E79" s="133" t="s">
        <v>136</v>
      </c>
      <c r="F79" s="5"/>
    </row>
    <row r="80" spans="2:6" ht="17.25" customHeight="1" thickBot="1">
      <c r="B80" s="254" t="s">
        <v>160</v>
      </c>
      <c r="C80" s="255"/>
      <c r="D80" s="124" t="s">
        <v>129</v>
      </c>
      <c r="E80" s="124" t="s">
        <v>129</v>
      </c>
      <c r="F80" s="5"/>
    </row>
    <row r="81" spans="2:6" ht="32.25" customHeight="1" thickBot="1">
      <c r="B81" s="243" t="s">
        <v>170</v>
      </c>
      <c r="C81" s="244"/>
      <c r="D81" s="125" t="s">
        <v>140</v>
      </c>
      <c r="E81" s="125">
        <v>0.2</v>
      </c>
      <c r="F81" s="5">
        <v>2</v>
      </c>
    </row>
    <row r="82" spans="2:6" ht="30" customHeight="1" thickBot="1">
      <c r="B82" s="252" t="s">
        <v>171</v>
      </c>
      <c r="C82" s="253"/>
      <c r="D82" s="142" t="s">
        <v>134</v>
      </c>
      <c r="E82" s="139" t="s">
        <v>135</v>
      </c>
      <c r="F82" s="5">
        <v>0</v>
      </c>
    </row>
    <row r="84" spans="2:6">
      <c r="B84" s="256" t="s">
        <v>172</v>
      </c>
      <c r="C84" s="256"/>
      <c r="D84" s="256"/>
      <c r="E84" s="256"/>
      <c r="F84" s="118"/>
    </row>
    <row r="85" spans="2:6" s="1" customFormat="1">
      <c r="B85" s="141"/>
      <c r="C85" s="141"/>
      <c r="D85" s="141"/>
      <c r="E85" s="141"/>
      <c r="F85" s="143"/>
    </row>
    <row r="86" spans="2:6" ht="16.5" thickBot="1">
      <c r="B86" s="242" t="s">
        <v>109</v>
      </c>
      <c r="C86" s="242"/>
      <c r="D86" s="133" t="s">
        <v>126</v>
      </c>
      <c r="E86" s="133" t="s">
        <v>136</v>
      </c>
      <c r="F86" s="118"/>
    </row>
    <row r="87" spans="2:6" ht="96" customHeight="1" thickBot="1">
      <c r="B87" s="234" t="s">
        <v>153</v>
      </c>
      <c r="C87" s="235"/>
      <c r="D87" s="125" t="s">
        <v>154</v>
      </c>
      <c r="E87" s="125">
        <v>1</v>
      </c>
      <c r="F87" s="126">
        <v>10</v>
      </c>
    </row>
    <row r="88" spans="2:6" ht="17.25" thickBot="1">
      <c r="B88" s="236" t="s">
        <v>187</v>
      </c>
      <c r="C88" s="237"/>
      <c r="D88" s="127" t="s">
        <v>131</v>
      </c>
      <c r="E88" s="127">
        <v>0.5</v>
      </c>
      <c r="F88" s="126">
        <v>5</v>
      </c>
    </row>
    <row r="89" spans="2:6" ht="40.5" customHeight="1" thickBot="1">
      <c r="B89" s="238" t="s">
        <v>188</v>
      </c>
      <c r="C89" s="239"/>
      <c r="D89" s="128" t="s">
        <v>155</v>
      </c>
      <c r="E89" s="128">
        <v>0</v>
      </c>
      <c r="F89" s="126">
        <v>0</v>
      </c>
    </row>
    <row r="90" spans="2:6" ht="16.5">
      <c r="B90" s="131"/>
      <c r="C90" s="136"/>
      <c r="D90" s="132"/>
      <c r="E90" s="132"/>
      <c r="F90" s="118"/>
    </row>
    <row r="91" spans="2:6" ht="16.5" thickBot="1">
      <c r="B91" s="242" t="s">
        <v>156</v>
      </c>
      <c r="C91" s="242"/>
      <c r="D91" s="133" t="s">
        <v>126</v>
      </c>
      <c r="E91" s="133" t="s">
        <v>136</v>
      </c>
      <c r="F91" s="118"/>
    </row>
    <row r="92" spans="2:6" ht="123.75" customHeight="1" thickBot="1">
      <c r="B92" s="234" t="s">
        <v>157</v>
      </c>
      <c r="C92" s="235"/>
      <c r="D92" s="125" t="s">
        <v>154</v>
      </c>
      <c r="E92" s="125">
        <v>0.5</v>
      </c>
      <c r="F92" s="126">
        <v>5</v>
      </c>
    </row>
    <row r="93" spans="2:6" ht="17.25" thickBot="1">
      <c r="B93" s="286" t="s">
        <v>189</v>
      </c>
      <c r="C93" s="237"/>
      <c r="D93" s="127" t="s">
        <v>131</v>
      </c>
      <c r="E93" s="127">
        <v>0.25</v>
      </c>
      <c r="F93" s="129">
        <v>2.5</v>
      </c>
    </row>
    <row r="94" spans="2:6" ht="48" customHeight="1" thickBot="1">
      <c r="B94" s="287" t="s">
        <v>414</v>
      </c>
      <c r="C94" s="239"/>
      <c r="D94" s="128" t="s">
        <v>155</v>
      </c>
      <c r="E94" s="128">
        <v>0</v>
      </c>
      <c r="F94" s="129">
        <v>0</v>
      </c>
    </row>
    <row r="95" spans="2:6" ht="16.5">
      <c r="B95" s="134"/>
      <c r="C95" s="134"/>
      <c r="D95" s="135"/>
      <c r="E95" s="135"/>
      <c r="F95" s="129"/>
    </row>
    <row r="96" spans="2:6">
      <c r="B96" s="256" t="s">
        <v>173</v>
      </c>
      <c r="C96" s="256"/>
      <c r="D96" s="137"/>
      <c r="E96" s="137"/>
      <c r="F96" s="138"/>
    </row>
    <row r="97" spans="2:6" s="1" customFormat="1">
      <c r="B97" s="141"/>
      <c r="C97" s="141"/>
      <c r="D97" s="141"/>
      <c r="E97" s="141"/>
      <c r="F97" s="141"/>
    </row>
    <row r="98" spans="2:6" ht="16.5" thickBot="1">
      <c r="B98" s="242" t="s">
        <v>158</v>
      </c>
      <c r="C98" s="242"/>
      <c r="D98" s="133" t="s">
        <v>126</v>
      </c>
      <c r="E98" s="133" t="s">
        <v>136</v>
      </c>
      <c r="F98" s="118"/>
    </row>
    <row r="99" spans="2:6" ht="17.25" customHeight="1" thickBot="1">
      <c r="B99" s="290" t="s">
        <v>160</v>
      </c>
      <c r="C99" s="291"/>
      <c r="D99" s="124" t="s">
        <v>129</v>
      </c>
      <c r="E99" s="124" t="s">
        <v>129</v>
      </c>
      <c r="F99" s="118"/>
    </row>
    <row r="100" spans="2:6" ht="38.25" customHeight="1" thickBot="1">
      <c r="B100" s="289" t="s">
        <v>174</v>
      </c>
      <c r="C100" s="244"/>
      <c r="D100" s="125" t="s">
        <v>154</v>
      </c>
      <c r="E100" s="125">
        <v>0.5</v>
      </c>
      <c r="F100" s="126">
        <v>5</v>
      </c>
    </row>
    <row r="101" spans="2:6" ht="16.5">
      <c r="B101" s="131"/>
      <c r="C101" s="131"/>
      <c r="D101" s="5"/>
      <c r="E101" s="5"/>
      <c r="F101" s="118"/>
    </row>
    <row r="102" spans="2:6" ht="15.75" thickBot="1">
      <c r="B102" s="288" t="s">
        <v>191</v>
      </c>
      <c r="C102" s="288"/>
    </row>
    <row r="103" spans="2:6" ht="15" customHeight="1">
      <c r="B103" s="285"/>
      <c r="C103" s="285"/>
      <c r="D103" s="5"/>
      <c r="E103" s="5"/>
      <c r="F103" s="118"/>
    </row>
    <row r="104" spans="2:6" ht="15.75" thickBot="1">
      <c r="B104" s="263" t="s">
        <v>133</v>
      </c>
      <c r="C104" s="264"/>
    </row>
    <row r="106" spans="2:6" ht="32.25" customHeight="1">
      <c r="B106" s="272" t="s">
        <v>392</v>
      </c>
      <c r="C106" s="273"/>
    </row>
    <row r="108" spans="2:6" ht="30" customHeight="1">
      <c r="B108" s="240" t="s">
        <v>139</v>
      </c>
      <c r="C108" s="241"/>
    </row>
    <row r="110" spans="2:6" ht="31.5" customHeight="1">
      <c r="B110" s="240" t="s">
        <v>164</v>
      </c>
      <c r="C110" s="241"/>
    </row>
    <row r="112" spans="2:6">
      <c r="B112" s="240" t="s">
        <v>176</v>
      </c>
      <c r="C112" s="241"/>
    </row>
    <row r="113" spans="2:3" ht="15.75" thickBot="1"/>
    <row r="114" spans="2:3">
      <c r="B114" s="249" t="s">
        <v>146</v>
      </c>
      <c r="C114" s="250"/>
    </row>
    <row r="116" spans="2:3" ht="46.5" customHeight="1">
      <c r="B116" s="240" t="s">
        <v>149</v>
      </c>
      <c r="C116" s="245"/>
    </row>
    <row r="118" spans="2:3" ht="30.75" customHeight="1">
      <c r="B118" s="252" t="s">
        <v>171</v>
      </c>
      <c r="C118" s="253"/>
    </row>
  </sheetData>
  <mergeCells count="84">
    <mergeCell ref="B42:C42"/>
    <mergeCell ref="B118:C118"/>
    <mergeCell ref="B104:C104"/>
    <mergeCell ref="B106:C106"/>
    <mergeCell ref="B108:C108"/>
    <mergeCell ref="B110:C110"/>
    <mergeCell ref="B116:C116"/>
    <mergeCell ref="B103:C103"/>
    <mergeCell ref="B92:C92"/>
    <mergeCell ref="B93:C93"/>
    <mergeCell ref="B94:C94"/>
    <mergeCell ref="B96:C96"/>
    <mergeCell ref="B98:C98"/>
    <mergeCell ref="B102:C102"/>
    <mergeCell ref="B100:C100"/>
    <mergeCell ref="B99:C99"/>
    <mergeCell ref="B72:C72"/>
    <mergeCell ref="B19:C19"/>
    <mergeCell ref="B76:C76"/>
    <mergeCell ref="B112:C112"/>
    <mergeCell ref="B114:C114"/>
    <mergeCell ref="B20:C20"/>
    <mergeCell ref="B25:C25"/>
    <mergeCell ref="B24:C24"/>
    <mergeCell ref="B52:C52"/>
    <mergeCell ref="B53:C53"/>
    <mergeCell ref="B56:E56"/>
    <mergeCell ref="B58:C58"/>
    <mergeCell ref="B45:C45"/>
    <mergeCell ref="B46:C46"/>
    <mergeCell ref="B49:C49"/>
    <mergeCell ref="B51:C51"/>
    <mergeCell ref="B47:C47"/>
    <mergeCell ref="B48:C48"/>
    <mergeCell ref="C3:C4"/>
    <mergeCell ref="B7:E7"/>
    <mergeCell ref="B9:E9"/>
    <mergeCell ref="B16:C16"/>
    <mergeCell ref="B18:C18"/>
    <mergeCell ref="B13:C13"/>
    <mergeCell ref="B12:C12"/>
    <mergeCell ref="B14:C14"/>
    <mergeCell ref="B15:C15"/>
    <mergeCell ref="B40:C40"/>
    <mergeCell ref="B41:C41"/>
    <mergeCell ref="B43:C43"/>
    <mergeCell ref="B21:C21"/>
    <mergeCell ref="B23:C23"/>
    <mergeCell ref="B74:C74"/>
    <mergeCell ref="B86:C86"/>
    <mergeCell ref="B91:C91"/>
    <mergeCell ref="B87:C87"/>
    <mergeCell ref="B88:C88"/>
    <mergeCell ref="B89:C89"/>
    <mergeCell ref="B75:C75"/>
    <mergeCell ref="B77:C77"/>
    <mergeCell ref="B81:C81"/>
    <mergeCell ref="B82:C82"/>
    <mergeCell ref="B80:C80"/>
    <mergeCell ref="B79:C79"/>
    <mergeCell ref="B84:E84"/>
    <mergeCell ref="B68:C68"/>
    <mergeCell ref="B66:C66"/>
    <mergeCell ref="B67:C67"/>
    <mergeCell ref="B71:C71"/>
    <mergeCell ref="B54:C54"/>
    <mergeCell ref="B65:C65"/>
    <mergeCell ref="B64:C64"/>
    <mergeCell ref="B70:C70"/>
    <mergeCell ref="B60:C60"/>
    <mergeCell ref="B61:C61"/>
    <mergeCell ref="B62:C62"/>
    <mergeCell ref="B59:C59"/>
    <mergeCell ref="B34:C34"/>
    <mergeCell ref="B38:C38"/>
    <mergeCell ref="B36:C36"/>
    <mergeCell ref="B37:C37"/>
    <mergeCell ref="B35:C35"/>
    <mergeCell ref="B26:C26"/>
    <mergeCell ref="B30:C30"/>
    <mergeCell ref="B31:C31"/>
    <mergeCell ref="B32:C32"/>
    <mergeCell ref="B27:C27"/>
    <mergeCell ref="B29:C29"/>
  </mergeCells>
  <pageMargins left="0.7" right="0.7" top="0.75" bottom="0.75" header="0.3" footer="0.3"/>
  <pageSetup paperSize="9" orientation="portrait"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29586E-FA42-444F-A534-57429624BC0C}">
  <dimension ref="B2:F116"/>
  <sheetViews>
    <sheetView topLeftCell="A91" workbookViewId="0">
      <selection activeCell="B92" sqref="B92:C92"/>
    </sheetView>
  </sheetViews>
  <sheetFormatPr defaultColWidth="11.42578125" defaultRowHeight="15"/>
  <cols>
    <col min="2" max="2" width="21.7109375" customWidth="1"/>
    <col min="3" max="3" width="71.140625" customWidth="1"/>
    <col min="4" max="4" width="25.7109375" bestFit="1" customWidth="1"/>
    <col min="5" max="5" width="22.5703125" customWidth="1"/>
    <col min="6" max="6" width="0" hidden="1" customWidth="1"/>
  </cols>
  <sheetData>
    <row r="2" spans="2:6">
      <c r="D2" s="5"/>
      <c r="E2" s="5"/>
      <c r="F2" s="118"/>
    </row>
    <row r="3" spans="2:6">
      <c r="C3" s="261" t="s">
        <v>217</v>
      </c>
      <c r="D3" s="5"/>
      <c r="E3" s="5"/>
      <c r="F3" s="118"/>
    </row>
    <row r="4" spans="2:6">
      <c r="C4" s="261"/>
      <c r="D4" s="5"/>
      <c r="E4" s="5"/>
      <c r="F4" s="118"/>
    </row>
    <row r="5" spans="2:6">
      <c r="D5" s="5"/>
      <c r="E5" s="5"/>
      <c r="F5" s="118"/>
    </row>
    <row r="6" spans="2:6">
      <c r="D6" s="5"/>
      <c r="E6" s="5"/>
      <c r="F6" s="118"/>
    </row>
    <row r="7" spans="2:6">
      <c r="B7" s="262" t="s">
        <v>218</v>
      </c>
      <c r="C7" s="262"/>
      <c r="D7" s="262"/>
      <c r="E7" s="262"/>
      <c r="F7" s="118"/>
    </row>
    <row r="8" spans="2:6">
      <c r="D8" s="119"/>
      <c r="E8" s="119"/>
    </row>
    <row r="9" spans="2:6">
      <c r="B9" s="256" t="s">
        <v>219</v>
      </c>
      <c r="C9" s="256"/>
      <c r="D9" s="256"/>
      <c r="E9" s="256"/>
    </row>
    <row r="10" spans="2:6">
      <c r="B10" s="141"/>
      <c r="C10" s="141"/>
      <c r="D10" s="141"/>
      <c r="E10" s="141"/>
    </row>
    <row r="11" spans="2:6" ht="30.75" thickBot="1">
      <c r="B11" s="120" t="s">
        <v>203</v>
      </c>
      <c r="C11" s="153"/>
      <c r="D11" s="133" t="s">
        <v>220</v>
      </c>
      <c r="E11" s="154" t="s">
        <v>221</v>
      </c>
      <c r="F11" s="123" t="s">
        <v>128</v>
      </c>
    </row>
    <row r="12" spans="2:6" ht="17.25" customHeight="1" thickBot="1">
      <c r="B12" s="267" t="s">
        <v>222</v>
      </c>
      <c r="C12" s="268"/>
      <c r="D12" s="124" t="s">
        <v>129</v>
      </c>
      <c r="E12" s="124" t="s">
        <v>129</v>
      </c>
      <c r="F12" s="118"/>
    </row>
    <row r="13" spans="2:6" ht="30.75" customHeight="1" thickBot="1">
      <c r="B13" s="265" t="s">
        <v>223</v>
      </c>
      <c r="C13" s="266"/>
      <c r="D13" s="125" t="s">
        <v>224</v>
      </c>
      <c r="E13" s="125">
        <v>0.5</v>
      </c>
      <c r="F13" s="126">
        <v>5</v>
      </c>
    </row>
    <row r="14" spans="2:6" ht="32.25" customHeight="1" thickBot="1">
      <c r="B14" s="269" t="s">
        <v>225</v>
      </c>
      <c r="C14" s="270"/>
      <c r="D14" s="127" t="s">
        <v>226</v>
      </c>
      <c r="E14" s="127">
        <v>0.2</v>
      </c>
      <c r="F14" s="126">
        <v>2</v>
      </c>
    </row>
    <row r="15" spans="2:6" ht="24.75" customHeight="1" thickBot="1">
      <c r="B15" s="232" t="s">
        <v>227</v>
      </c>
      <c r="C15" s="233"/>
      <c r="D15" s="128" t="s">
        <v>228</v>
      </c>
      <c r="E15" s="128">
        <v>0</v>
      </c>
      <c r="F15" s="126">
        <v>0</v>
      </c>
    </row>
    <row r="16" spans="2:6" ht="44.25" customHeight="1" thickBot="1">
      <c r="B16" s="263" t="s">
        <v>229</v>
      </c>
      <c r="C16" s="264"/>
      <c r="D16" s="139" t="s">
        <v>230</v>
      </c>
      <c r="E16" s="155" t="s">
        <v>231</v>
      </c>
      <c r="F16" s="129">
        <v>-100</v>
      </c>
    </row>
    <row r="17" spans="2:6" ht="16.5">
      <c r="B17" s="130"/>
      <c r="C17" s="131"/>
      <c r="D17" s="132"/>
      <c r="E17" s="132"/>
      <c r="F17" s="118"/>
    </row>
    <row r="18" spans="2:6" ht="16.5" thickBot="1">
      <c r="B18" s="242" t="s">
        <v>112</v>
      </c>
      <c r="C18" s="242"/>
      <c r="D18" s="133" t="s">
        <v>220</v>
      </c>
      <c r="E18" s="154" t="s">
        <v>221</v>
      </c>
      <c r="F18" s="118"/>
    </row>
    <row r="19" spans="2:6" ht="45.75" customHeight="1" thickBot="1">
      <c r="B19" s="251" t="s">
        <v>232</v>
      </c>
      <c r="C19" s="244"/>
      <c r="D19" s="125" t="s">
        <v>224</v>
      </c>
      <c r="E19" s="125">
        <v>1</v>
      </c>
      <c r="F19" s="126">
        <v>10</v>
      </c>
    </row>
    <row r="20" spans="2:6" ht="52.5" customHeight="1" thickBot="1">
      <c r="B20" s="248" t="s">
        <v>233</v>
      </c>
      <c r="C20" s="237"/>
      <c r="D20" s="127" t="s">
        <v>226</v>
      </c>
      <c r="E20" s="127">
        <v>0.5</v>
      </c>
      <c r="F20" s="126">
        <v>5</v>
      </c>
    </row>
    <row r="21" spans="2:6" ht="33.75" customHeight="1" thickBot="1">
      <c r="B21" s="292" t="s">
        <v>234</v>
      </c>
      <c r="C21" s="264"/>
      <c r="D21" s="139" t="s">
        <v>230</v>
      </c>
      <c r="E21" s="155" t="s">
        <v>231</v>
      </c>
      <c r="F21" s="5">
        <v>-100</v>
      </c>
    </row>
    <row r="22" spans="2:6" ht="16.5">
      <c r="B22" s="130"/>
      <c r="C22" s="131"/>
      <c r="D22" s="132"/>
      <c r="E22" s="132"/>
    </row>
    <row r="23" spans="2:6" ht="16.5" thickBot="1">
      <c r="B23" s="274" t="s">
        <v>235</v>
      </c>
      <c r="C23" s="274"/>
      <c r="D23" s="133" t="s">
        <v>220</v>
      </c>
      <c r="E23" s="154" t="s">
        <v>221</v>
      </c>
    </row>
    <row r="24" spans="2:6" ht="23.25" customHeight="1" thickBot="1">
      <c r="B24" s="279" t="s">
        <v>236</v>
      </c>
      <c r="C24" s="280"/>
      <c r="D24" s="124" t="s">
        <v>129</v>
      </c>
      <c r="E24" s="124" t="s">
        <v>129</v>
      </c>
    </row>
    <row r="25" spans="2:6" ht="30.75" customHeight="1" thickBot="1">
      <c r="B25" s="265" t="s">
        <v>237</v>
      </c>
      <c r="C25" s="266"/>
      <c r="D25" s="125" t="s">
        <v>238</v>
      </c>
      <c r="E25" s="125">
        <v>0.3</v>
      </c>
      <c r="F25" s="5">
        <v>3</v>
      </c>
    </row>
    <row r="26" spans="2:6" ht="38.25" customHeight="1" thickBot="1">
      <c r="B26" s="232" t="s">
        <v>239</v>
      </c>
      <c r="C26" s="233"/>
      <c r="D26" s="128" t="s">
        <v>240</v>
      </c>
      <c r="E26" s="128">
        <v>0</v>
      </c>
      <c r="F26" s="5">
        <v>0</v>
      </c>
    </row>
    <row r="27" spans="2:6" ht="29.25" customHeight="1" thickBot="1">
      <c r="B27" s="240" t="s">
        <v>241</v>
      </c>
      <c r="C27" s="241"/>
      <c r="D27" s="139" t="s">
        <v>230</v>
      </c>
      <c r="E27" s="155" t="s">
        <v>231</v>
      </c>
      <c r="F27" s="5">
        <v>-100</v>
      </c>
    </row>
    <row r="28" spans="2:6" ht="16.5">
      <c r="B28" s="130"/>
      <c r="C28" s="131"/>
      <c r="D28" s="132"/>
      <c r="E28" s="132"/>
    </row>
    <row r="29" spans="2:6" ht="16.5" thickBot="1">
      <c r="B29" s="242" t="s">
        <v>242</v>
      </c>
      <c r="C29" s="242"/>
      <c r="D29" s="133" t="s">
        <v>220</v>
      </c>
      <c r="E29" s="154" t="s">
        <v>221</v>
      </c>
    </row>
    <row r="30" spans="2:6" ht="90" customHeight="1" thickBot="1">
      <c r="B30" s="234" t="s">
        <v>243</v>
      </c>
      <c r="C30" s="235"/>
      <c r="D30" s="125" t="s">
        <v>224</v>
      </c>
      <c r="E30" s="125">
        <v>0.5</v>
      </c>
      <c r="F30" s="5">
        <v>5</v>
      </c>
    </row>
    <row r="31" spans="2:6" ht="17.25" thickBot="1">
      <c r="B31" s="236" t="s">
        <v>244</v>
      </c>
      <c r="C31" s="237"/>
      <c r="D31" s="127" t="s">
        <v>226</v>
      </c>
      <c r="E31" s="127">
        <v>0.2</v>
      </c>
      <c r="F31" s="5">
        <v>2</v>
      </c>
    </row>
    <row r="32" spans="2:6" ht="30.75" customHeight="1" thickBot="1">
      <c r="B32" s="238" t="s">
        <v>245</v>
      </c>
      <c r="C32" s="239"/>
      <c r="D32" s="128" t="s">
        <v>228</v>
      </c>
      <c r="E32" s="128">
        <v>0</v>
      </c>
      <c r="F32" s="5">
        <v>0</v>
      </c>
    </row>
    <row r="33" spans="2:6" ht="16.5">
      <c r="B33" s="130"/>
      <c r="C33" s="131"/>
      <c r="D33" s="132"/>
      <c r="E33" s="132"/>
      <c r="F33" s="118"/>
    </row>
    <row r="34" spans="2:6" ht="16.5" thickBot="1">
      <c r="B34" s="242" t="s">
        <v>246</v>
      </c>
      <c r="C34" s="242"/>
      <c r="D34" s="133" t="s">
        <v>220</v>
      </c>
      <c r="E34" s="154" t="s">
        <v>221</v>
      </c>
      <c r="F34" s="118"/>
    </row>
    <row r="35" spans="2:6" ht="49.5" customHeight="1" thickBot="1">
      <c r="B35" s="243" t="s">
        <v>247</v>
      </c>
      <c r="C35" s="244"/>
      <c r="D35" s="125" t="s">
        <v>224</v>
      </c>
      <c r="E35" s="125">
        <v>0.5</v>
      </c>
      <c r="F35" s="5">
        <v>5</v>
      </c>
    </row>
    <row r="36" spans="2:6" ht="17.25" thickBot="1">
      <c r="B36" s="236" t="s">
        <v>248</v>
      </c>
      <c r="C36" s="237"/>
      <c r="D36" s="127" t="s">
        <v>226</v>
      </c>
      <c r="E36" s="127">
        <v>0.2</v>
      </c>
      <c r="F36" s="5">
        <v>2</v>
      </c>
    </row>
    <row r="37" spans="2:6" ht="44.25" customHeight="1" thickBot="1">
      <c r="B37" s="238" t="s">
        <v>249</v>
      </c>
      <c r="C37" s="239"/>
      <c r="D37" s="128" t="s">
        <v>228</v>
      </c>
      <c r="E37" s="128">
        <v>0</v>
      </c>
      <c r="F37" s="5"/>
    </row>
    <row r="38" spans="2:6" ht="33.75" customHeight="1" thickBot="1">
      <c r="B38" s="240" t="s">
        <v>250</v>
      </c>
      <c r="C38" s="241"/>
      <c r="D38" s="139" t="s">
        <v>230</v>
      </c>
      <c r="E38" s="155" t="s">
        <v>231</v>
      </c>
      <c r="F38" s="5">
        <v>-100</v>
      </c>
    </row>
    <row r="39" spans="2:6">
      <c r="D39" s="5"/>
      <c r="E39" s="5"/>
    </row>
    <row r="40" spans="2:6" ht="16.5" thickBot="1">
      <c r="B40" s="271" t="s">
        <v>251</v>
      </c>
      <c r="C40" s="271"/>
      <c r="D40" s="133" t="s">
        <v>220</v>
      </c>
      <c r="E40" s="154" t="s">
        <v>221</v>
      </c>
    </row>
    <row r="41" spans="2:6" ht="49.5" customHeight="1" thickBot="1">
      <c r="B41" s="243" t="s">
        <v>252</v>
      </c>
      <c r="C41" s="244"/>
      <c r="D41" s="125" t="s">
        <v>224</v>
      </c>
      <c r="E41" s="125">
        <v>0.5</v>
      </c>
      <c r="F41" s="5">
        <v>5</v>
      </c>
    </row>
    <row r="42" spans="2:6" ht="17.25" thickBot="1">
      <c r="B42" s="238" t="s">
        <v>253</v>
      </c>
      <c r="C42" s="239"/>
      <c r="D42" s="128" t="s">
        <v>228</v>
      </c>
      <c r="E42" s="128">
        <v>0</v>
      </c>
      <c r="F42" s="5">
        <v>0</v>
      </c>
    </row>
    <row r="43" spans="2:6">
      <c r="D43" s="5"/>
      <c r="E43" s="5"/>
    </row>
    <row r="44" spans="2:6" ht="16.5" thickBot="1">
      <c r="B44" s="242" t="s">
        <v>207</v>
      </c>
      <c r="C44" s="242"/>
      <c r="D44" s="133" t="s">
        <v>126</v>
      </c>
      <c r="E44" s="133" t="s">
        <v>136</v>
      </c>
    </row>
    <row r="45" spans="2:6" ht="51" customHeight="1" thickBot="1">
      <c r="B45" s="282" t="s">
        <v>254</v>
      </c>
      <c r="C45" s="283"/>
      <c r="D45" s="125" t="s">
        <v>224</v>
      </c>
      <c r="E45" s="125">
        <v>1</v>
      </c>
      <c r="F45" s="5">
        <v>10</v>
      </c>
    </row>
    <row r="46" spans="2:6" ht="29.25" customHeight="1" thickBot="1">
      <c r="B46" s="257" t="s">
        <v>255</v>
      </c>
      <c r="C46" s="258"/>
      <c r="D46" s="127" t="s">
        <v>226</v>
      </c>
      <c r="E46" s="127">
        <v>0.5</v>
      </c>
      <c r="F46" s="5">
        <v>5</v>
      </c>
    </row>
    <row r="47" spans="2:6" ht="17.25" thickBot="1">
      <c r="B47" s="259" t="s">
        <v>256</v>
      </c>
      <c r="C47" s="260"/>
      <c r="D47" s="128" t="s">
        <v>228</v>
      </c>
      <c r="E47" s="128">
        <v>0</v>
      </c>
      <c r="F47" s="5">
        <v>0</v>
      </c>
    </row>
    <row r="48" spans="2:6" ht="29.25" thickBot="1">
      <c r="B48" s="240" t="s">
        <v>257</v>
      </c>
      <c r="C48" s="241"/>
      <c r="D48" s="139" t="s">
        <v>230</v>
      </c>
      <c r="E48" s="155" t="s">
        <v>231</v>
      </c>
      <c r="F48" s="5">
        <v>-100</v>
      </c>
    </row>
    <row r="49" spans="2:6">
      <c r="D49" s="5"/>
      <c r="E49" s="5"/>
    </row>
    <row r="50" spans="2:6" ht="16.5" thickBot="1">
      <c r="B50" s="242" t="s">
        <v>258</v>
      </c>
      <c r="C50" s="242"/>
      <c r="D50" s="133" t="s">
        <v>220</v>
      </c>
      <c r="E50" s="154" t="s">
        <v>221</v>
      </c>
    </row>
    <row r="51" spans="2:6" ht="65.25" customHeight="1" thickBot="1">
      <c r="B51" s="281" t="s">
        <v>259</v>
      </c>
      <c r="C51" s="235"/>
      <c r="D51" s="125" t="s">
        <v>224</v>
      </c>
      <c r="E51" s="125">
        <v>0.5</v>
      </c>
      <c r="F51" s="5">
        <v>5</v>
      </c>
    </row>
    <row r="52" spans="2:6" ht="50.25" customHeight="1" thickBot="1">
      <c r="B52" s="248" t="s">
        <v>260</v>
      </c>
      <c r="C52" s="237"/>
      <c r="D52" s="127" t="s">
        <v>226</v>
      </c>
      <c r="E52" s="127">
        <v>0.2</v>
      </c>
      <c r="F52" s="5">
        <v>2</v>
      </c>
    </row>
    <row r="53" spans="2:6" ht="33.75" customHeight="1" thickBot="1">
      <c r="B53" s="246" t="s">
        <v>261</v>
      </c>
      <c r="C53" s="247"/>
      <c r="D53" s="128" t="s">
        <v>228</v>
      </c>
      <c r="E53" s="128">
        <v>0</v>
      </c>
      <c r="F53" s="5">
        <v>0</v>
      </c>
    </row>
    <row r="54" spans="2:6">
      <c r="D54" s="5"/>
      <c r="E54" s="5"/>
    </row>
    <row r="55" spans="2:6">
      <c r="B55" s="256" t="s">
        <v>262</v>
      </c>
      <c r="C55" s="256"/>
      <c r="D55" s="256"/>
      <c r="E55" s="256"/>
    </row>
    <row r="56" spans="2:6" s="1" customFormat="1">
      <c r="B56" s="141"/>
      <c r="C56" s="141"/>
      <c r="D56" s="141"/>
      <c r="E56" s="141"/>
    </row>
    <row r="57" spans="2:6" ht="16.5" thickBot="1">
      <c r="B57" s="242" t="s">
        <v>263</v>
      </c>
      <c r="C57" s="242"/>
      <c r="D57" s="133" t="s">
        <v>220</v>
      </c>
      <c r="E57" s="154" t="s">
        <v>221</v>
      </c>
    </row>
    <row r="58" spans="2:6" ht="43.5" customHeight="1" thickBot="1">
      <c r="B58" s="251" t="s">
        <v>264</v>
      </c>
      <c r="C58" s="244"/>
      <c r="D58" s="125" t="s">
        <v>224</v>
      </c>
      <c r="E58" s="125">
        <v>1</v>
      </c>
      <c r="F58" s="5">
        <v>10</v>
      </c>
    </row>
    <row r="59" spans="2:6" ht="50.25" customHeight="1" thickBot="1">
      <c r="B59" s="248" t="s">
        <v>265</v>
      </c>
      <c r="C59" s="237"/>
      <c r="D59" s="127" t="s">
        <v>226</v>
      </c>
      <c r="E59" s="127">
        <v>0.5</v>
      </c>
      <c r="F59" s="5">
        <v>5</v>
      </c>
    </row>
    <row r="60" spans="2:6" ht="33.75" customHeight="1" thickBot="1">
      <c r="B60" s="246" t="s">
        <v>266</v>
      </c>
      <c r="C60" s="247"/>
      <c r="D60" s="128" t="s">
        <v>228</v>
      </c>
      <c r="E60" s="128">
        <v>0</v>
      </c>
      <c r="F60" s="5">
        <v>0</v>
      </c>
    </row>
    <row r="61" spans="2:6" ht="29.25" thickBot="1">
      <c r="B61" s="249" t="s">
        <v>267</v>
      </c>
      <c r="C61" s="250"/>
      <c r="D61" s="139" t="s">
        <v>230</v>
      </c>
      <c r="E61" s="155" t="s">
        <v>231</v>
      </c>
      <c r="F61" s="5"/>
    </row>
    <row r="63" spans="2:6" ht="16.5" thickBot="1">
      <c r="B63" s="242" t="s">
        <v>268</v>
      </c>
      <c r="C63" s="242"/>
      <c r="D63" s="133" t="s">
        <v>220</v>
      </c>
      <c r="E63" s="154" t="s">
        <v>221</v>
      </c>
    </row>
    <row r="64" spans="2:6" ht="30" customHeight="1" thickBot="1">
      <c r="B64" s="243" t="s">
        <v>269</v>
      </c>
      <c r="C64" s="244"/>
      <c r="D64" s="125" t="s">
        <v>224</v>
      </c>
      <c r="E64" s="125">
        <v>1.5</v>
      </c>
      <c r="F64" s="5">
        <v>15</v>
      </c>
    </row>
    <row r="65" spans="2:6" ht="33.75" customHeight="1" thickBot="1">
      <c r="B65" s="236" t="s">
        <v>270</v>
      </c>
      <c r="C65" s="237"/>
      <c r="D65" s="127" t="s">
        <v>271</v>
      </c>
      <c r="E65" s="127">
        <v>0.75</v>
      </c>
      <c r="F65" s="5">
        <v>7.5</v>
      </c>
    </row>
    <row r="66" spans="2:6" ht="33.75" customHeight="1" thickBot="1">
      <c r="B66" s="238" t="s">
        <v>272</v>
      </c>
      <c r="C66" s="239"/>
      <c r="D66" s="128" t="s">
        <v>228</v>
      </c>
      <c r="E66" s="128">
        <v>0</v>
      </c>
      <c r="F66" s="5">
        <v>0</v>
      </c>
    </row>
    <row r="67" spans="2:6" ht="48" customHeight="1" thickBot="1">
      <c r="B67" s="240" t="s">
        <v>273</v>
      </c>
      <c r="C67" s="245"/>
      <c r="D67" s="139" t="s">
        <v>230</v>
      </c>
      <c r="E67" s="155" t="s">
        <v>231</v>
      </c>
      <c r="F67" s="5">
        <v>-100</v>
      </c>
    </row>
    <row r="69" spans="2:6" ht="16.5" thickBot="1">
      <c r="B69" s="242" t="s">
        <v>274</v>
      </c>
      <c r="C69" s="242"/>
      <c r="D69" s="133" t="s">
        <v>220</v>
      </c>
      <c r="E69" s="154" t="s">
        <v>221</v>
      </c>
    </row>
    <row r="70" spans="2:6" ht="39.75" customHeight="1" thickBot="1">
      <c r="B70" s="234" t="s">
        <v>275</v>
      </c>
      <c r="C70" s="235"/>
      <c r="D70" s="125" t="s">
        <v>224</v>
      </c>
      <c r="E70" s="125">
        <v>0.5</v>
      </c>
      <c r="F70" s="5">
        <v>5</v>
      </c>
    </row>
    <row r="71" spans="2:6" ht="33.75" customHeight="1" thickBot="1">
      <c r="B71" s="238" t="s">
        <v>276</v>
      </c>
      <c r="C71" s="239"/>
      <c r="D71" s="128" t="s">
        <v>228</v>
      </c>
      <c r="E71" s="128">
        <v>0</v>
      </c>
      <c r="F71" s="5">
        <v>0</v>
      </c>
    </row>
    <row r="73" spans="2:6" ht="16.5" thickBot="1">
      <c r="B73" s="242" t="s">
        <v>74</v>
      </c>
      <c r="C73" s="242"/>
      <c r="D73" s="133" t="s">
        <v>220</v>
      </c>
      <c r="E73" s="154" t="s">
        <v>221</v>
      </c>
    </row>
    <row r="74" spans="2:6" ht="17.25" thickBot="1">
      <c r="B74" s="243" t="s">
        <v>277</v>
      </c>
      <c r="C74" s="244"/>
      <c r="D74" s="125" t="s">
        <v>224</v>
      </c>
      <c r="E74" s="125">
        <v>0.5</v>
      </c>
      <c r="F74" s="5">
        <v>5</v>
      </c>
    </row>
    <row r="75" spans="2:6" ht="33.75" customHeight="1" thickBot="1">
      <c r="B75" s="238" t="s">
        <v>278</v>
      </c>
      <c r="C75" s="239"/>
      <c r="D75" s="128" t="s">
        <v>228</v>
      </c>
      <c r="E75" s="128">
        <v>0</v>
      </c>
      <c r="F75" s="5">
        <v>0</v>
      </c>
    </row>
    <row r="76" spans="2:6" ht="16.5">
      <c r="B76" s="134"/>
      <c r="C76" s="134"/>
      <c r="D76" s="135"/>
      <c r="E76" s="135"/>
      <c r="F76" s="5"/>
    </row>
    <row r="77" spans="2:6" ht="16.5" thickBot="1">
      <c r="B77" s="242" t="s">
        <v>279</v>
      </c>
      <c r="C77" s="242"/>
      <c r="D77" s="133" t="s">
        <v>220</v>
      </c>
      <c r="E77" s="154" t="s">
        <v>221</v>
      </c>
      <c r="F77" s="5"/>
    </row>
    <row r="78" spans="2:6" ht="17.25" customHeight="1" thickBot="1">
      <c r="B78" s="254" t="s">
        <v>222</v>
      </c>
      <c r="C78" s="255"/>
      <c r="D78" s="124" t="s">
        <v>129</v>
      </c>
      <c r="E78" s="124" t="s">
        <v>129</v>
      </c>
      <c r="F78" s="5"/>
    </row>
    <row r="79" spans="2:6" ht="32.25" customHeight="1" thickBot="1">
      <c r="B79" s="243" t="s">
        <v>280</v>
      </c>
      <c r="C79" s="244"/>
      <c r="D79" s="125" t="s">
        <v>224</v>
      </c>
      <c r="E79" s="125">
        <v>0.2</v>
      </c>
      <c r="F79" s="5">
        <v>2</v>
      </c>
    </row>
    <row r="80" spans="2:6" ht="30" customHeight="1" thickBot="1">
      <c r="B80" s="252" t="s">
        <v>281</v>
      </c>
      <c r="C80" s="253"/>
      <c r="D80" s="139" t="s">
        <v>230</v>
      </c>
      <c r="E80" s="155" t="s">
        <v>231</v>
      </c>
      <c r="F80" s="5">
        <v>0</v>
      </c>
    </row>
    <row r="82" spans="2:6">
      <c r="B82" s="256" t="s">
        <v>282</v>
      </c>
      <c r="C82" s="256"/>
      <c r="D82" s="256"/>
      <c r="E82" s="256"/>
      <c r="F82" s="118"/>
    </row>
    <row r="83" spans="2:6" s="1" customFormat="1">
      <c r="B83" s="141"/>
      <c r="C83" s="141"/>
      <c r="D83" s="141"/>
      <c r="E83" s="141"/>
      <c r="F83" s="143"/>
    </row>
    <row r="84" spans="2:6" ht="16.5" thickBot="1">
      <c r="B84" s="242" t="s">
        <v>212</v>
      </c>
      <c r="C84" s="242"/>
      <c r="D84" s="133" t="s">
        <v>220</v>
      </c>
      <c r="E84" s="154" t="s">
        <v>221</v>
      </c>
      <c r="F84" s="118"/>
    </row>
    <row r="85" spans="2:6" ht="96" customHeight="1" thickBot="1">
      <c r="B85" s="234" t="s">
        <v>283</v>
      </c>
      <c r="C85" s="235"/>
      <c r="D85" s="125" t="s">
        <v>224</v>
      </c>
      <c r="E85" s="125">
        <v>1</v>
      </c>
      <c r="F85" s="126">
        <v>10</v>
      </c>
    </row>
    <row r="86" spans="2:6" ht="17.25" thickBot="1">
      <c r="B86" s="236" t="s">
        <v>284</v>
      </c>
      <c r="C86" s="237"/>
      <c r="D86" s="127" t="s">
        <v>226</v>
      </c>
      <c r="E86" s="127">
        <v>0.5</v>
      </c>
      <c r="F86" s="126">
        <v>5</v>
      </c>
    </row>
    <row r="87" spans="2:6" ht="40.5" customHeight="1" thickBot="1">
      <c r="B87" s="238" t="s">
        <v>285</v>
      </c>
      <c r="C87" s="239"/>
      <c r="D87" s="128" t="s">
        <v>155</v>
      </c>
      <c r="E87" s="128">
        <v>0</v>
      </c>
      <c r="F87" s="126">
        <v>0</v>
      </c>
    </row>
    <row r="88" spans="2:6" ht="16.5">
      <c r="B88" s="131"/>
      <c r="C88" s="136"/>
      <c r="D88" s="132"/>
      <c r="E88" s="132"/>
      <c r="F88" s="118"/>
    </row>
    <row r="89" spans="2:6" ht="16.5" thickBot="1">
      <c r="B89" s="242" t="s">
        <v>286</v>
      </c>
      <c r="C89" s="242"/>
      <c r="D89" s="133" t="s">
        <v>220</v>
      </c>
      <c r="E89" s="154" t="s">
        <v>221</v>
      </c>
      <c r="F89" s="118"/>
    </row>
    <row r="90" spans="2:6" ht="123.75" customHeight="1" thickBot="1">
      <c r="B90" s="234" t="s">
        <v>412</v>
      </c>
      <c r="C90" s="235"/>
      <c r="D90" s="125" t="s">
        <v>224</v>
      </c>
      <c r="E90" s="125">
        <v>0.5</v>
      </c>
      <c r="F90" s="126">
        <v>5</v>
      </c>
    </row>
    <row r="91" spans="2:6" ht="17.25" customHeight="1" thickBot="1">
      <c r="B91" s="286" t="s">
        <v>383</v>
      </c>
      <c r="C91" s="237"/>
      <c r="D91" s="127" t="s">
        <v>226</v>
      </c>
      <c r="E91" s="127">
        <v>0.25</v>
      </c>
      <c r="F91" s="129">
        <v>2.5</v>
      </c>
    </row>
    <row r="92" spans="2:6" ht="48" customHeight="1" thickBot="1">
      <c r="B92" s="287" t="s">
        <v>287</v>
      </c>
      <c r="C92" s="239"/>
      <c r="D92" s="128" t="s">
        <v>155</v>
      </c>
      <c r="E92" s="128">
        <v>0</v>
      </c>
      <c r="F92" s="129">
        <v>0</v>
      </c>
    </row>
    <row r="93" spans="2:6" ht="16.5">
      <c r="B93" s="134"/>
      <c r="C93" s="134"/>
      <c r="D93" s="135"/>
      <c r="E93" s="135"/>
      <c r="F93" s="129"/>
    </row>
    <row r="94" spans="2:6">
      <c r="B94" s="256" t="s">
        <v>288</v>
      </c>
      <c r="C94" s="256"/>
      <c r="D94" s="152"/>
      <c r="E94" s="152"/>
      <c r="F94" s="138"/>
    </row>
    <row r="95" spans="2:6" s="1" customFormat="1">
      <c r="B95" s="141"/>
      <c r="C95" s="141"/>
      <c r="D95" s="141"/>
      <c r="E95" s="141"/>
      <c r="F95" s="141"/>
    </row>
    <row r="96" spans="2:6" ht="16.5" thickBot="1">
      <c r="B96" s="242" t="s">
        <v>289</v>
      </c>
      <c r="C96" s="242"/>
      <c r="D96" s="133" t="s">
        <v>220</v>
      </c>
      <c r="E96" s="154" t="s">
        <v>221</v>
      </c>
      <c r="F96" s="118"/>
    </row>
    <row r="97" spans="2:6" ht="17.25" customHeight="1" thickBot="1">
      <c r="B97" s="290" t="s">
        <v>222</v>
      </c>
      <c r="C97" s="291"/>
      <c r="D97" s="124" t="s">
        <v>129</v>
      </c>
      <c r="E97" s="124" t="s">
        <v>129</v>
      </c>
      <c r="F97" s="118"/>
    </row>
    <row r="98" spans="2:6" ht="38.25" customHeight="1" thickBot="1">
      <c r="B98" s="289" t="s">
        <v>290</v>
      </c>
      <c r="C98" s="244"/>
      <c r="D98" s="125" t="s">
        <v>224</v>
      </c>
      <c r="E98" s="125">
        <v>0.5</v>
      </c>
      <c r="F98" s="126">
        <v>5</v>
      </c>
    </row>
    <row r="99" spans="2:6" ht="16.5">
      <c r="B99" s="131"/>
      <c r="C99" s="131"/>
      <c r="D99" s="5"/>
      <c r="E99" s="5"/>
      <c r="F99" s="118"/>
    </row>
    <row r="100" spans="2:6" ht="15.75" thickBot="1">
      <c r="B100" s="288" t="s">
        <v>291</v>
      </c>
      <c r="C100" s="288"/>
    </row>
    <row r="101" spans="2:6" ht="15" customHeight="1">
      <c r="B101" s="285"/>
      <c r="C101" s="285"/>
      <c r="D101" s="5"/>
      <c r="E101" s="5"/>
      <c r="F101" s="118"/>
    </row>
    <row r="102" spans="2:6" ht="15.75" thickBot="1">
      <c r="B102" s="263" t="s">
        <v>292</v>
      </c>
      <c r="C102" s="264"/>
    </row>
    <row r="104" spans="2:6" ht="32.25" customHeight="1" thickBot="1">
      <c r="B104" s="292" t="s">
        <v>234</v>
      </c>
      <c r="C104" s="293"/>
    </row>
    <row r="106" spans="2:6" ht="30" customHeight="1">
      <c r="B106" s="240" t="s">
        <v>293</v>
      </c>
      <c r="C106" s="241"/>
    </row>
    <row r="108" spans="2:6" ht="31.5" customHeight="1">
      <c r="B108" s="240" t="s">
        <v>294</v>
      </c>
      <c r="C108" s="241"/>
    </row>
    <row r="110" spans="2:6">
      <c r="B110" s="240" t="s">
        <v>295</v>
      </c>
      <c r="C110" s="241"/>
    </row>
    <row r="111" spans="2:6" ht="15.75" thickBot="1"/>
    <row r="112" spans="2:6">
      <c r="B112" s="249" t="s">
        <v>296</v>
      </c>
      <c r="C112" s="250"/>
    </row>
    <row r="114" spans="2:3" ht="46.5" customHeight="1">
      <c r="B114" s="240" t="s">
        <v>297</v>
      </c>
      <c r="C114" s="245"/>
    </row>
    <row r="116" spans="2:3" ht="30.75" customHeight="1">
      <c r="B116" s="252" t="s">
        <v>298</v>
      </c>
      <c r="C116" s="253"/>
    </row>
  </sheetData>
  <mergeCells count="82">
    <mergeCell ref="B110:C110"/>
    <mergeCell ref="B112:C112"/>
    <mergeCell ref="B114:C114"/>
    <mergeCell ref="B116:C116"/>
    <mergeCell ref="B100:C100"/>
    <mergeCell ref="B101:C101"/>
    <mergeCell ref="B102:C102"/>
    <mergeCell ref="B104:C104"/>
    <mergeCell ref="B106:C106"/>
    <mergeCell ref="B108:C108"/>
    <mergeCell ref="B98:C98"/>
    <mergeCell ref="B84:C84"/>
    <mergeCell ref="B85:C85"/>
    <mergeCell ref="B86:C86"/>
    <mergeCell ref="B87:C87"/>
    <mergeCell ref="B89:C89"/>
    <mergeCell ref="B90:C90"/>
    <mergeCell ref="B91:C91"/>
    <mergeCell ref="B92:C92"/>
    <mergeCell ref="B94:C94"/>
    <mergeCell ref="B96:C96"/>
    <mergeCell ref="B97:C97"/>
    <mergeCell ref="B82:E82"/>
    <mergeCell ref="B67:C67"/>
    <mergeCell ref="B69:C69"/>
    <mergeCell ref="B70:C70"/>
    <mergeCell ref="B71:C71"/>
    <mergeCell ref="B73:C73"/>
    <mergeCell ref="B74:C74"/>
    <mergeCell ref="B75:C75"/>
    <mergeCell ref="B77:C77"/>
    <mergeCell ref="B78:C78"/>
    <mergeCell ref="B79:C79"/>
    <mergeCell ref="B80:C80"/>
    <mergeCell ref="B66:C66"/>
    <mergeCell ref="B52:C52"/>
    <mergeCell ref="B53:C53"/>
    <mergeCell ref="B55:E55"/>
    <mergeCell ref="B57:C57"/>
    <mergeCell ref="B58:C58"/>
    <mergeCell ref="B59:C59"/>
    <mergeCell ref="B60:C60"/>
    <mergeCell ref="B61:C61"/>
    <mergeCell ref="B63:C63"/>
    <mergeCell ref="B64:C64"/>
    <mergeCell ref="B65:C65"/>
    <mergeCell ref="B51:C51"/>
    <mergeCell ref="B37:C37"/>
    <mergeCell ref="B38:C38"/>
    <mergeCell ref="B40:C40"/>
    <mergeCell ref="B41:C41"/>
    <mergeCell ref="B42:C42"/>
    <mergeCell ref="B44:C44"/>
    <mergeCell ref="B45:C45"/>
    <mergeCell ref="B46:C46"/>
    <mergeCell ref="B47:C47"/>
    <mergeCell ref="B48:C48"/>
    <mergeCell ref="B50:C50"/>
    <mergeCell ref="B36:C36"/>
    <mergeCell ref="B23:C23"/>
    <mergeCell ref="B24:C24"/>
    <mergeCell ref="B25:C25"/>
    <mergeCell ref="B26:C26"/>
    <mergeCell ref="B27:C27"/>
    <mergeCell ref="B29:C29"/>
    <mergeCell ref="B30:C30"/>
    <mergeCell ref="B31:C31"/>
    <mergeCell ref="B32:C32"/>
    <mergeCell ref="B34:C34"/>
    <mergeCell ref="B35:C35"/>
    <mergeCell ref="B21:C21"/>
    <mergeCell ref="C3:C4"/>
    <mergeCell ref="B7:E7"/>
    <mergeCell ref="B9:E9"/>
    <mergeCell ref="B12:C12"/>
    <mergeCell ref="B13:C13"/>
    <mergeCell ref="B14:C14"/>
    <mergeCell ref="B15:C15"/>
    <mergeCell ref="B16:C16"/>
    <mergeCell ref="B18:C18"/>
    <mergeCell ref="B19:C19"/>
    <mergeCell ref="B20:C20"/>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2ED013-FF2A-47E7-A18E-3DDC8D3EFA08}">
  <sheetPr>
    <pageSetUpPr fitToPage="1"/>
  </sheetPr>
  <dimension ref="B2:F117"/>
  <sheetViews>
    <sheetView zoomScaleNormal="100" workbookViewId="0">
      <selection activeCell="H116" sqref="H116"/>
    </sheetView>
  </sheetViews>
  <sheetFormatPr defaultColWidth="11.42578125" defaultRowHeight="15"/>
  <cols>
    <col min="1" max="1" width="11.42578125" style="7"/>
    <col min="2" max="2" width="21.7109375" style="7" customWidth="1"/>
    <col min="3" max="3" width="71.140625" style="7" customWidth="1"/>
    <col min="4" max="4" width="15.5703125" style="7" customWidth="1"/>
    <col min="5" max="5" width="15.42578125" style="7" customWidth="1"/>
    <col min="6" max="16384" width="11.42578125" style="7"/>
  </cols>
  <sheetData>
    <row r="2" spans="2:6">
      <c r="D2" s="23"/>
      <c r="E2" s="23"/>
      <c r="F2" s="157"/>
    </row>
    <row r="3" spans="2:6">
      <c r="C3" s="298" t="s">
        <v>317</v>
      </c>
      <c r="D3" s="23"/>
      <c r="E3" s="23"/>
      <c r="F3" s="157"/>
    </row>
    <row r="4" spans="2:6">
      <c r="C4" s="298"/>
      <c r="D4" s="23"/>
      <c r="E4" s="23"/>
      <c r="F4" s="157"/>
    </row>
    <row r="5" spans="2:6">
      <c r="D5" s="23"/>
      <c r="E5" s="23"/>
      <c r="F5" s="157"/>
    </row>
    <row r="6" spans="2:6">
      <c r="D6" s="23"/>
      <c r="E6" s="23"/>
      <c r="F6" s="157"/>
    </row>
    <row r="7" spans="2:6">
      <c r="B7" s="262" t="s">
        <v>318</v>
      </c>
      <c r="C7" s="262"/>
      <c r="D7" s="262"/>
      <c r="E7" s="262"/>
      <c r="F7" s="157"/>
    </row>
    <row r="8" spans="2:6">
      <c r="D8" s="158"/>
      <c r="E8" s="158"/>
    </row>
    <row r="9" spans="2:6">
      <c r="B9" s="256" t="s">
        <v>319</v>
      </c>
      <c r="C9" s="256"/>
      <c r="D9" s="256"/>
      <c r="E9" s="256"/>
    </row>
    <row r="10" spans="2:6">
      <c r="B10" s="138"/>
      <c r="C10" s="138"/>
      <c r="D10" s="138"/>
      <c r="E10" s="138"/>
    </row>
    <row r="11" spans="2:6" ht="45.75" thickBot="1">
      <c r="B11" s="159" t="s">
        <v>303</v>
      </c>
      <c r="C11" s="160"/>
      <c r="D11" s="123" t="s">
        <v>320</v>
      </c>
      <c r="E11" s="123" t="s">
        <v>321</v>
      </c>
      <c r="F11" s="123" t="s">
        <v>322</v>
      </c>
    </row>
    <row r="12" spans="2:6" ht="17.25" customHeight="1" thickBot="1">
      <c r="B12" s="267" t="s">
        <v>323</v>
      </c>
      <c r="C12" s="268"/>
      <c r="D12" s="124" t="s">
        <v>129</v>
      </c>
      <c r="E12" s="124" t="s">
        <v>129</v>
      </c>
      <c r="F12" s="157"/>
    </row>
    <row r="13" spans="2:6" ht="30.75" customHeight="1" thickBot="1">
      <c r="B13" s="265" t="s">
        <v>324</v>
      </c>
      <c r="C13" s="266"/>
      <c r="D13" s="125" t="s">
        <v>325</v>
      </c>
      <c r="E13" s="125">
        <v>0.5</v>
      </c>
      <c r="F13" s="129">
        <v>5</v>
      </c>
    </row>
    <row r="14" spans="2:6" ht="30" customHeight="1" thickBot="1">
      <c r="B14" s="269" t="s">
        <v>363</v>
      </c>
      <c r="C14" s="270"/>
      <c r="D14" s="127" t="s">
        <v>326</v>
      </c>
      <c r="E14" s="127">
        <v>0.2</v>
      </c>
      <c r="F14" s="129">
        <v>2</v>
      </c>
    </row>
    <row r="15" spans="2:6" ht="17.25" thickBot="1">
      <c r="B15" s="232" t="s">
        <v>327</v>
      </c>
      <c r="C15" s="233"/>
      <c r="D15" s="128" t="s">
        <v>328</v>
      </c>
      <c r="E15" s="128">
        <v>0</v>
      </c>
      <c r="F15" s="129">
        <v>0</v>
      </c>
    </row>
    <row r="16" spans="2:6" ht="44.25" customHeight="1" thickBot="1">
      <c r="B16" s="263" t="s">
        <v>364</v>
      </c>
      <c r="C16" s="264"/>
      <c r="D16" s="161" t="s">
        <v>134</v>
      </c>
      <c r="E16" s="161" t="s">
        <v>329</v>
      </c>
      <c r="F16" s="129">
        <v>-100</v>
      </c>
    </row>
    <row r="17" spans="2:6" ht="16.5">
      <c r="B17" s="162"/>
      <c r="C17" s="136"/>
      <c r="D17" s="163"/>
      <c r="E17" s="163"/>
      <c r="F17" s="157"/>
    </row>
    <row r="18" spans="2:6" ht="31.5" thickBot="1">
      <c r="B18" s="294" t="s">
        <v>304</v>
      </c>
      <c r="C18" s="294"/>
      <c r="D18" s="154" t="s">
        <v>320</v>
      </c>
      <c r="E18" s="154" t="s">
        <v>321</v>
      </c>
      <c r="F18" s="157"/>
    </row>
    <row r="19" spans="2:6" ht="106.5" customHeight="1" thickBot="1">
      <c r="B19" s="251" t="s">
        <v>397</v>
      </c>
      <c r="C19" s="244"/>
      <c r="D19" s="125" t="s">
        <v>325</v>
      </c>
      <c r="E19" s="125">
        <v>1</v>
      </c>
      <c r="F19" s="129">
        <v>10</v>
      </c>
    </row>
    <row r="20" spans="2:6" ht="113.25" customHeight="1" thickBot="1">
      <c r="B20" s="248" t="s">
        <v>407</v>
      </c>
      <c r="C20" s="237"/>
      <c r="D20" s="127" t="s">
        <v>326</v>
      </c>
      <c r="E20" s="127">
        <v>0.5</v>
      </c>
      <c r="F20" s="129">
        <v>5</v>
      </c>
    </row>
    <row r="21" spans="2:6" ht="48.75" customHeight="1" thickBot="1">
      <c r="B21" s="292" t="s">
        <v>396</v>
      </c>
      <c r="C21" s="264"/>
      <c r="D21" s="155" t="s">
        <v>134</v>
      </c>
      <c r="E21" s="155" t="s">
        <v>329</v>
      </c>
      <c r="F21" s="23">
        <v>-100</v>
      </c>
    </row>
    <row r="22" spans="2:6" ht="16.5">
      <c r="B22" s="162"/>
      <c r="C22" s="136"/>
      <c r="D22" s="163"/>
      <c r="E22" s="163"/>
    </row>
    <row r="23" spans="2:6" ht="31.5" thickBot="1">
      <c r="B23" s="297" t="s">
        <v>330</v>
      </c>
      <c r="C23" s="297"/>
      <c r="D23" s="154" t="s">
        <v>320</v>
      </c>
      <c r="E23" s="154" t="s">
        <v>321</v>
      </c>
    </row>
    <row r="24" spans="2:6" ht="23.25" customHeight="1" thickBot="1">
      <c r="B24" s="279" t="s">
        <v>331</v>
      </c>
      <c r="C24" s="280"/>
      <c r="D24" s="124" t="s">
        <v>129</v>
      </c>
      <c r="E24" s="124" t="s">
        <v>129</v>
      </c>
    </row>
    <row r="25" spans="2:6" ht="59.25" customHeight="1" thickBot="1">
      <c r="B25" s="265" t="s">
        <v>365</v>
      </c>
      <c r="C25" s="266"/>
      <c r="D25" s="125" t="s">
        <v>332</v>
      </c>
      <c r="E25" s="125">
        <v>0.3</v>
      </c>
      <c r="F25" s="23">
        <v>3</v>
      </c>
    </row>
    <row r="26" spans="2:6" ht="37.5" customHeight="1" thickBot="1">
      <c r="B26" s="232" t="s">
        <v>366</v>
      </c>
      <c r="C26" s="233"/>
      <c r="D26" s="128" t="s">
        <v>333</v>
      </c>
      <c r="E26" s="128">
        <v>0</v>
      </c>
      <c r="F26" s="23">
        <v>0</v>
      </c>
    </row>
    <row r="27" spans="2:6" ht="44.25" customHeight="1" thickBot="1">
      <c r="B27" s="240" t="s">
        <v>408</v>
      </c>
      <c r="C27" s="241"/>
      <c r="D27" s="161" t="s">
        <v>134</v>
      </c>
      <c r="E27" s="161" t="s">
        <v>329</v>
      </c>
      <c r="F27" s="23">
        <v>-100</v>
      </c>
    </row>
    <row r="28" spans="2:6" ht="16.5">
      <c r="B28" s="162"/>
      <c r="C28" s="136"/>
      <c r="D28" s="163"/>
      <c r="E28" s="163"/>
    </row>
    <row r="29" spans="2:6" ht="31.5" thickBot="1">
      <c r="B29" s="294" t="s">
        <v>334</v>
      </c>
      <c r="C29" s="294"/>
      <c r="D29" s="154" t="s">
        <v>320</v>
      </c>
      <c r="E29" s="154" t="s">
        <v>321</v>
      </c>
    </row>
    <row r="30" spans="2:6" ht="90" customHeight="1" thickBot="1">
      <c r="B30" s="234" t="s">
        <v>367</v>
      </c>
      <c r="C30" s="235"/>
      <c r="D30" s="125" t="s">
        <v>325</v>
      </c>
      <c r="E30" s="125">
        <v>0.5</v>
      </c>
      <c r="F30" s="23">
        <v>5</v>
      </c>
    </row>
    <row r="31" spans="2:6" ht="17.25" thickBot="1">
      <c r="B31" s="236" t="s">
        <v>368</v>
      </c>
      <c r="C31" s="237"/>
      <c r="D31" s="127" t="s">
        <v>326</v>
      </c>
      <c r="E31" s="127">
        <v>0.2</v>
      </c>
      <c r="F31" s="23">
        <v>2</v>
      </c>
    </row>
    <row r="32" spans="2:6" ht="30.75" customHeight="1" thickBot="1">
      <c r="B32" s="238" t="s">
        <v>369</v>
      </c>
      <c r="C32" s="239"/>
      <c r="D32" s="128" t="s">
        <v>335</v>
      </c>
      <c r="E32" s="128">
        <v>0</v>
      </c>
      <c r="F32" s="23">
        <v>0</v>
      </c>
    </row>
    <row r="33" spans="2:6" ht="16.5">
      <c r="B33" s="162"/>
      <c r="C33" s="136"/>
      <c r="D33" s="163"/>
      <c r="E33" s="163"/>
      <c r="F33" s="157"/>
    </row>
    <row r="34" spans="2:6" ht="31.5" thickBot="1">
      <c r="B34" s="294" t="s">
        <v>307</v>
      </c>
      <c r="C34" s="294"/>
      <c r="D34" s="154" t="s">
        <v>320</v>
      </c>
      <c r="E34" s="154" t="s">
        <v>321</v>
      </c>
      <c r="F34" s="157"/>
    </row>
    <row r="35" spans="2:6" ht="49.5" customHeight="1" thickBot="1">
      <c r="B35" s="243" t="s">
        <v>336</v>
      </c>
      <c r="C35" s="244"/>
      <c r="D35" s="125" t="s">
        <v>325</v>
      </c>
      <c r="E35" s="125">
        <v>0.5</v>
      </c>
      <c r="F35" s="23">
        <v>5</v>
      </c>
    </row>
    <row r="36" spans="2:6" ht="19.5" customHeight="1" thickBot="1">
      <c r="B36" s="236" t="s">
        <v>380</v>
      </c>
      <c r="C36" s="237"/>
      <c r="D36" s="127" t="s">
        <v>326</v>
      </c>
      <c r="E36" s="127">
        <v>0.2</v>
      </c>
      <c r="F36" s="23">
        <v>2</v>
      </c>
    </row>
    <row r="37" spans="2:6" ht="44.25" customHeight="1" thickBot="1">
      <c r="B37" s="238" t="s">
        <v>370</v>
      </c>
      <c r="C37" s="239"/>
      <c r="D37" s="128" t="s">
        <v>335</v>
      </c>
      <c r="E37" s="128">
        <v>0</v>
      </c>
      <c r="F37" s="23"/>
    </row>
    <row r="38" spans="2:6" ht="33.75" customHeight="1" thickBot="1">
      <c r="B38" s="240" t="s">
        <v>406</v>
      </c>
      <c r="C38" s="241"/>
      <c r="D38" s="155" t="s">
        <v>134</v>
      </c>
      <c r="E38" s="155" t="s">
        <v>329</v>
      </c>
      <c r="F38" s="23">
        <v>-100</v>
      </c>
    </row>
    <row r="39" spans="2:6">
      <c r="D39" s="23"/>
      <c r="E39" s="23"/>
    </row>
    <row r="40" spans="2:6" ht="31.5" thickBot="1">
      <c r="B40" s="295" t="s">
        <v>308</v>
      </c>
      <c r="C40" s="295"/>
      <c r="D40" s="154" t="s">
        <v>320</v>
      </c>
      <c r="E40" s="154" t="s">
        <v>321</v>
      </c>
    </row>
    <row r="41" spans="2:6" ht="49.5" customHeight="1" thickBot="1">
      <c r="B41" s="243" t="s">
        <v>398</v>
      </c>
      <c r="C41" s="244"/>
      <c r="D41" s="125" t="s">
        <v>325</v>
      </c>
      <c r="E41" s="125">
        <v>0.5</v>
      </c>
      <c r="F41" s="23">
        <v>5</v>
      </c>
    </row>
    <row r="42" spans="2:6" ht="33.75" thickBot="1">
      <c r="B42" s="238" t="s">
        <v>337</v>
      </c>
      <c r="C42" s="239"/>
      <c r="D42" s="128" t="s">
        <v>338</v>
      </c>
      <c r="E42" s="128">
        <v>0</v>
      </c>
      <c r="F42" s="23">
        <v>0</v>
      </c>
    </row>
    <row r="43" spans="2:6">
      <c r="D43" s="23"/>
      <c r="E43" s="23"/>
    </row>
    <row r="44" spans="2:6" ht="31.5" thickBot="1">
      <c r="B44" s="294" t="s">
        <v>339</v>
      </c>
      <c r="C44" s="294"/>
      <c r="D44" s="154" t="s">
        <v>320</v>
      </c>
      <c r="E44" s="154" t="s">
        <v>321</v>
      </c>
    </row>
    <row r="45" spans="2:6" ht="72" customHeight="1" thickBot="1">
      <c r="B45" s="282" t="s">
        <v>340</v>
      </c>
      <c r="C45" s="296"/>
      <c r="D45" s="125" t="s">
        <v>325</v>
      </c>
      <c r="E45" s="125">
        <v>1</v>
      </c>
      <c r="F45" s="23">
        <v>10</v>
      </c>
    </row>
    <row r="46" spans="2:6" ht="34.5" customHeight="1" thickBot="1">
      <c r="B46" s="257" t="s">
        <v>341</v>
      </c>
      <c r="C46" s="258"/>
      <c r="D46" s="127" t="s">
        <v>326</v>
      </c>
      <c r="E46" s="127">
        <v>0.5</v>
      </c>
      <c r="F46" s="23">
        <v>5</v>
      </c>
    </row>
    <row r="47" spans="2:6" ht="17.25" thickBot="1">
      <c r="B47" s="259" t="s">
        <v>342</v>
      </c>
      <c r="C47" s="260"/>
      <c r="D47" s="128" t="s">
        <v>328</v>
      </c>
      <c r="E47" s="128">
        <v>0</v>
      </c>
      <c r="F47" s="23">
        <v>0</v>
      </c>
    </row>
    <row r="48" spans="2:6" ht="30" customHeight="1" thickBot="1">
      <c r="B48" s="240" t="s">
        <v>371</v>
      </c>
      <c r="C48" s="241"/>
      <c r="D48" s="161" t="s">
        <v>134</v>
      </c>
      <c r="E48" s="161" t="s">
        <v>329</v>
      </c>
      <c r="F48" s="23">
        <v>-100</v>
      </c>
    </row>
    <row r="49" spans="2:6">
      <c r="D49" s="23"/>
      <c r="E49" s="23"/>
    </row>
    <row r="50" spans="2:6" ht="31.5" thickBot="1">
      <c r="B50" s="294" t="s">
        <v>310</v>
      </c>
      <c r="C50" s="294"/>
      <c r="D50" s="154" t="s">
        <v>320</v>
      </c>
      <c r="E50" s="154" t="s">
        <v>321</v>
      </c>
    </row>
    <row r="51" spans="2:6" ht="65.25" customHeight="1" thickBot="1">
      <c r="B51" s="281" t="s">
        <v>399</v>
      </c>
      <c r="C51" s="235"/>
      <c r="D51" s="125" t="s">
        <v>325</v>
      </c>
      <c r="E51" s="125">
        <v>0.5</v>
      </c>
      <c r="F51" s="23">
        <v>5</v>
      </c>
    </row>
    <row r="52" spans="2:6" ht="39" customHeight="1" thickBot="1">
      <c r="B52" s="248" t="s">
        <v>372</v>
      </c>
      <c r="C52" s="237"/>
      <c r="D52" s="127" t="s">
        <v>326</v>
      </c>
      <c r="E52" s="127">
        <v>0.2</v>
      </c>
      <c r="F52" s="23">
        <v>2</v>
      </c>
    </row>
    <row r="53" spans="2:6" ht="33.75" customHeight="1" thickBot="1">
      <c r="B53" s="246" t="s">
        <v>400</v>
      </c>
      <c r="C53" s="247"/>
      <c r="D53" s="128" t="s">
        <v>328</v>
      </c>
      <c r="E53" s="128">
        <v>0</v>
      </c>
      <c r="F53" s="23">
        <v>0</v>
      </c>
    </row>
    <row r="54" spans="2:6">
      <c r="D54" s="23"/>
      <c r="E54" s="23"/>
    </row>
    <row r="55" spans="2:6">
      <c r="B55" s="256" t="s">
        <v>343</v>
      </c>
      <c r="C55" s="256"/>
      <c r="D55" s="256"/>
      <c r="E55" s="256"/>
    </row>
    <row r="56" spans="2:6">
      <c r="B56" s="138"/>
      <c r="C56" s="138"/>
      <c r="D56" s="138"/>
      <c r="E56" s="138"/>
    </row>
    <row r="57" spans="2:6" ht="31.5" thickBot="1">
      <c r="B57" s="294" t="s">
        <v>344</v>
      </c>
      <c r="C57" s="294"/>
      <c r="D57" s="154" t="s">
        <v>320</v>
      </c>
      <c r="E57" s="154" t="s">
        <v>321</v>
      </c>
    </row>
    <row r="58" spans="2:6" ht="43.5" customHeight="1" thickBot="1">
      <c r="B58" s="251" t="s">
        <v>373</v>
      </c>
      <c r="C58" s="244"/>
      <c r="D58" s="125" t="s">
        <v>325</v>
      </c>
      <c r="E58" s="125">
        <v>1</v>
      </c>
      <c r="F58" s="23">
        <v>10</v>
      </c>
    </row>
    <row r="59" spans="2:6" ht="45.75" customHeight="1" thickBot="1">
      <c r="B59" s="248" t="s">
        <v>381</v>
      </c>
      <c r="C59" s="237"/>
      <c r="D59" s="127" t="s">
        <v>326</v>
      </c>
      <c r="E59" s="127">
        <v>0.5</v>
      </c>
      <c r="F59" s="23">
        <v>5</v>
      </c>
    </row>
    <row r="60" spans="2:6" ht="33.75" customHeight="1" thickBot="1">
      <c r="B60" s="246" t="s">
        <v>345</v>
      </c>
      <c r="C60" s="247"/>
      <c r="D60" s="128" t="s">
        <v>328</v>
      </c>
      <c r="E60" s="128">
        <v>0</v>
      </c>
      <c r="F60" s="23">
        <v>0</v>
      </c>
    </row>
    <row r="61" spans="2:6" ht="43.5" thickBot="1">
      <c r="B61" s="249" t="s">
        <v>374</v>
      </c>
      <c r="C61" s="250"/>
      <c r="D61" s="155" t="s">
        <v>134</v>
      </c>
      <c r="E61" s="155" t="s">
        <v>329</v>
      </c>
      <c r="F61" s="23"/>
    </row>
    <row r="63" spans="2:6" ht="31.5" thickBot="1">
      <c r="B63" s="294" t="s">
        <v>312</v>
      </c>
      <c r="C63" s="294"/>
      <c r="D63" s="154" t="s">
        <v>320</v>
      </c>
      <c r="E63" s="154" t="s">
        <v>321</v>
      </c>
    </row>
    <row r="64" spans="2:6" ht="30" customHeight="1" thickBot="1">
      <c r="B64" s="243" t="s">
        <v>375</v>
      </c>
      <c r="C64" s="244"/>
      <c r="D64" s="125" t="s">
        <v>325</v>
      </c>
      <c r="E64" s="125">
        <v>1.5</v>
      </c>
      <c r="F64" s="23">
        <v>15</v>
      </c>
    </row>
    <row r="65" spans="2:6" ht="33.75" customHeight="1" thickBot="1">
      <c r="B65" s="236" t="s">
        <v>346</v>
      </c>
      <c r="C65" s="237"/>
      <c r="D65" s="127" t="s">
        <v>347</v>
      </c>
      <c r="E65" s="127">
        <v>0.75</v>
      </c>
      <c r="F65" s="23">
        <v>7.5</v>
      </c>
    </row>
    <row r="66" spans="2:6" ht="33.75" customHeight="1" thickBot="1">
      <c r="B66" s="238" t="s">
        <v>376</v>
      </c>
      <c r="C66" s="239"/>
      <c r="D66" s="128" t="s">
        <v>328</v>
      </c>
      <c r="E66" s="128">
        <v>0</v>
      </c>
      <c r="F66" s="23">
        <v>0</v>
      </c>
    </row>
    <row r="67" spans="2:6" ht="48" customHeight="1" thickBot="1">
      <c r="B67" s="240" t="s">
        <v>348</v>
      </c>
      <c r="C67" s="245"/>
      <c r="D67" s="155" t="s">
        <v>134</v>
      </c>
      <c r="E67" s="161" t="s">
        <v>329</v>
      </c>
      <c r="F67" s="23">
        <v>-100</v>
      </c>
    </row>
    <row r="69" spans="2:6" ht="31.5" thickBot="1">
      <c r="B69" s="294" t="s">
        <v>379</v>
      </c>
      <c r="C69" s="294"/>
      <c r="D69" s="154" t="s">
        <v>320</v>
      </c>
      <c r="E69" s="154" t="s">
        <v>321</v>
      </c>
    </row>
    <row r="70" spans="2:6" ht="39.75" customHeight="1" thickBot="1">
      <c r="B70" s="234" t="s">
        <v>349</v>
      </c>
      <c r="C70" s="235"/>
      <c r="D70" s="125" t="s">
        <v>325</v>
      </c>
      <c r="E70" s="125">
        <v>0.5</v>
      </c>
      <c r="F70" s="23">
        <v>5</v>
      </c>
    </row>
    <row r="71" spans="2:6" ht="33.75" customHeight="1" thickBot="1">
      <c r="B71" s="238" t="s">
        <v>350</v>
      </c>
      <c r="C71" s="239"/>
      <c r="D71" s="128" t="s">
        <v>328</v>
      </c>
      <c r="E71" s="128">
        <v>0</v>
      </c>
      <c r="F71" s="23">
        <v>0</v>
      </c>
    </row>
    <row r="72" spans="2:6" ht="15" customHeight="1"/>
    <row r="73" spans="2:6" ht="31.5" thickBot="1">
      <c r="B73" s="294" t="s">
        <v>401</v>
      </c>
      <c r="C73" s="294"/>
      <c r="D73" s="154" t="s">
        <v>320</v>
      </c>
      <c r="E73" s="154" t="s">
        <v>321</v>
      </c>
    </row>
    <row r="74" spans="2:6" ht="66.75" customHeight="1" thickBot="1">
      <c r="B74" s="243" t="s">
        <v>402</v>
      </c>
      <c r="C74" s="244"/>
      <c r="D74" s="125" t="s">
        <v>325</v>
      </c>
      <c r="E74" s="125">
        <v>0.5</v>
      </c>
      <c r="F74" s="23">
        <v>5</v>
      </c>
    </row>
    <row r="75" spans="2:6" ht="32.25" customHeight="1" thickBot="1">
      <c r="B75" s="236" t="s">
        <v>403</v>
      </c>
      <c r="C75" s="237"/>
      <c r="D75" s="127" t="s">
        <v>347</v>
      </c>
      <c r="E75" s="127">
        <v>0.2</v>
      </c>
      <c r="F75" s="23">
        <v>2</v>
      </c>
    </row>
    <row r="76" spans="2:6" ht="33.75" customHeight="1" thickBot="1">
      <c r="B76" s="238" t="s">
        <v>351</v>
      </c>
      <c r="C76" s="239"/>
      <c r="D76" s="128" t="s">
        <v>328</v>
      </c>
      <c r="E76" s="128">
        <v>0</v>
      </c>
      <c r="F76" s="23">
        <v>0</v>
      </c>
    </row>
    <row r="77" spans="2:6" ht="16.5">
      <c r="B77" s="134"/>
      <c r="C77" s="134"/>
      <c r="D77" s="135"/>
      <c r="E77" s="135"/>
      <c r="F77" s="23"/>
    </row>
    <row r="78" spans="2:6" ht="31.5" thickBot="1">
      <c r="B78" s="294" t="s">
        <v>315</v>
      </c>
      <c r="C78" s="294"/>
      <c r="D78" s="154" t="s">
        <v>320</v>
      </c>
      <c r="E78" s="154" t="s">
        <v>321</v>
      </c>
      <c r="F78" s="23"/>
    </row>
    <row r="79" spans="2:6" ht="17.25" customHeight="1" thickBot="1">
      <c r="B79" s="254" t="s">
        <v>352</v>
      </c>
      <c r="C79" s="255"/>
      <c r="D79" s="124" t="s">
        <v>129</v>
      </c>
      <c r="E79" s="124" t="s">
        <v>129</v>
      </c>
      <c r="F79" s="23"/>
    </row>
    <row r="80" spans="2:6" ht="47.25" customHeight="1" thickBot="1">
      <c r="B80" s="243" t="s">
        <v>353</v>
      </c>
      <c r="C80" s="244"/>
      <c r="D80" s="125" t="s">
        <v>325</v>
      </c>
      <c r="E80" s="125">
        <v>0.2</v>
      </c>
      <c r="F80" s="23">
        <v>2</v>
      </c>
    </row>
    <row r="81" spans="2:6" ht="30" customHeight="1" thickBot="1">
      <c r="B81" s="252" t="s">
        <v>354</v>
      </c>
      <c r="C81" s="253"/>
      <c r="D81" s="164" t="s">
        <v>134</v>
      </c>
      <c r="E81" s="161" t="s">
        <v>329</v>
      </c>
      <c r="F81" s="23">
        <v>0</v>
      </c>
    </row>
    <row r="83" spans="2:6">
      <c r="B83" s="256" t="s">
        <v>355</v>
      </c>
      <c r="C83" s="256"/>
      <c r="D83" s="256"/>
      <c r="E83" s="256"/>
      <c r="F83" s="157"/>
    </row>
    <row r="84" spans="2:6">
      <c r="B84" s="138"/>
      <c r="C84" s="138"/>
      <c r="D84" s="138"/>
      <c r="E84" s="138"/>
      <c r="F84" s="157"/>
    </row>
    <row r="85" spans="2:6" ht="31.5" thickBot="1">
      <c r="B85" s="294" t="s">
        <v>301</v>
      </c>
      <c r="C85" s="294"/>
      <c r="D85" s="154" t="s">
        <v>320</v>
      </c>
      <c r="E85" s="154" t="s">
        <v>321</v>
      </c>
      <c r="F85" s="157"/>
    </row>
    <row r="86" spans="2:6" ht="96" customHeight="1" thickBot="1">
      <c r="B86" s="234" t="s">
        <v>404</v>
      </c>
      <c r="C86" s="235"/>
      <c r="D86" s="125" t="s">
        <v>325</v>
      </c>
      <c r="E86" s="125">
        <v>1</v>
      </c>
      <c r="F86" s="129">
        <v>10</v>
      </c>
    </row>
    <row r="87" spans="2:6" ht="36" customHeight="1" thickBot="1">
      <c r="B87" s="257" t="s">
        <v>356</v>
      </c>
      <c r="C87" s="237"/>
      <c r="D87" s="127" t="s">
        <v>326</v>
      </c>
      <c r="E87" s="127">
        <v>0.5</v>
      </c>
      <c r="F87" s="129">
        <v>5</v>
      </c>
    </row>
    <row r="88" spans="2:6" ht="40.5" customHeight="1" thickBot="1">
      <c r="B88" s="259" t="s">
        <v>377</v>
      </c>
      <c r="C88" s="239"/>
      <c r="D88" s="128" t="s">
        <v>328</v>
      </c>
      <c r="E88" s="128">
        <v>0</v>
      </c>
      <c r="F88" s="129">
        <v>0</v>
      </c>
    </row>
    <row r="89" spans="2:6" ht="16.5">
      <c r="B89" s="136"/>
      <c r="C89" s="136"/>
      <c r="D89" s="163"/>
      <c r="E89" s="163"/>
      <c r="F89" s="157"/>
    </row>
    <row r="90" spans="2:6" ht="31.5" thickBot="1">
      <c r="B90" s="294" t="s">
        <v>357</v>
      </c>
      <c r="C90" s="294"/>
      <c r="D90" s="154" t="s">
        <v>320</v>
      </c>
      <c r="E90" s="154" t="s">
        <v>321</v>
      </c>
      <c r="F90" s="157"/>
    </row>
    <row r="91" spans="2:6" ht="123.75" customHeight="1" thickBot="1">
      <c r="B91" s="234" t="s">
        <v>378</v>
      </c>
      <c r="C91" s="235"/>
      <c r="D91" s="125" t="s">
        <v>325</v>
      </c>
      <c r="E91" s="125">
        <v>0.5</v>
      </c>
      <c r="F91" s="129">
        <v>5</v>
      </c>
    </row>
    <row r="92" spans="2:6" ht="29.25" customHeight="1" thickBot="1">
      <c r="B92" s="236" t="s">
        <v>405</v>
      </c>
      <c r="C92" s="237"/>
      <c r="D92" s="127" t="s">
        <v>326</v>
      </c>
      <c r="E92" s="127">
        <v>0.25</v>
      </c>
      <c r="F92" s="129">
        <v>2.5</v>
      </c>
    </row>
    <row r="93" spans="2:6" ht="48" customHeight="1" thickBot="1">
      <c r="B93" s="259" t="s">
        <v>358</v>
      </c>
      <c r="C93" s="239"/>
      <c r="D93" s="128" t="s">
        <v>328</v>
      </c>
      <c r="E93" s="128">
        <v>0</v>
      </c>
      <c r="F93" s="129">
        <v>0</v>
      </c>
    </row>
    <row r="94" spans="2:6" ht="16.5">
      <c r="B94" s="134"/>
      <c r="C94" s="134"/>
      <c r="D94" s="135"/>
      <c r="E94" s="135"/>
      <c r="F94" s="129"/>
    </row>
    <row r="95" spans="2:6">
      <c r="B95" s="256" t="s">
        <v>359</v>
      </c>
      <c r="C95" s="256"/>
      <c r="D95" s="156"/>
      <c r="E95" s="156"/>
      <c r="F95" s="138"/>
    </row>
    <row r="96" spans="2:6">
      <c r="B96" s="138"/>
      <c r="C96" s="138"/>
      <c r="D96" s="138"/>
      <c r="E96" s="138"/>
      <c r="F96" s="138"/>
    </row>
    <row r="97" spans="2:6" ht="31.5" thickBot="1">
      <c r="B97" s="294" t="s">
        <v>360</v>
      </c>
      <c r="C97" s="294"/>
      <c r="D97" s="154" t="s">
        <v>320</v>
      </c>
      <c r="E97" s="154" t="s">
        <v>321</v>
      </c>
      <c r="F97" s="157"/>
    </row>
    <row r="98" spans="2:6" ht="17.25" customHeight="1" thickBot="1">
      <c r="B98" s="290" t="s">
        <v>352</v>
      </c>
      <c r="C98" s="291"/>
      <c r="D98" s="124" t="s">
        <v>129</v>
      </c>
      <c r="E98" s="124" t="s">
        <v>129</v>
      </c>
      <c r="F98" s="157"/>
    </row>
    <row r="99" spans="2:6" ht="38.25" customHeight="1" thickBot="1">
      <c r="B99" s="289" t="s">
        <v>361</v>
      </c>
      <c r="C99" s="244"/>
      <c r="D99" s="125" t="s">
        <v>325</v>
      </c>
      <c r="E99" s="125">
        <v>0.5</v>
      </c>
      <c r="F99" s="129">
        <v>5</v>
      </c>
    </row>
    <row r="100" spans="2:6" ht="16.5">
      <c r="B100" s="136"/>
      <c r="C100" s="136"/>
      <c r="D100" s="23"/>
      <c r="E100" s="23"/>
      <c r="F100" s="157"/>
    </row>
    <row r="101" spans="2:6" ht="15.75" thickBot="1">
      <c r="B101" s="288" t="s">
        <v>362</v>
      </c>
      <c r="C101" s="288"/>
    </row>
    <row r="102" spans="2:6" ht="6.75" customHeight="1">
      <c r="B102" s="285"/>
      <c r="C102" s="285"/>
      <c r="D102" s="23"/>
      <c r="E102" s="23"/>
      <c r="F102" s="157"/>
    </row>
    <row r="103" spans="2:6" ht="42" customHeight="1" thickBot="1">
      <c r="B103" s="263" t="s">
        <v>364</v>
      </c>
      <c r="C103" s="264"/>
    </row>
    <row r="104" spans="2:6" ht="5.25" customHeight="1"/>
    <row r="105" spans="2:6" ht="63" customHeight="1" thickBot="1">
      <c r="B105" s="292" t="s">
        <v>396</v>
      </c>
      <c r="C105" s="264"/>
    </row>
    <row r="106" spans="2:6" ht="7.5" customHeight="1"/>
    <row r="107" spans="2:6" ht="47.25" customHeight="1">
      <c r="B107" s="240" t="s">
        <v>408</v>
      </c>
      <c r="C107" s="241"/>
    </row>
    <row r="108" spans="2:6" ht="9.75" customHeight="1"/>
    <row r="109" spans="2:6" ht="40.5" customHeight="1">
      <c r="B109" s="240" t="s">
        <v>406</v>
      </c>
      <c r="C109" s="241"/>
    </row>
    <row r="110" spans="2:6" ht="9.75" customHeight="1"/>
    <row r="111" spans="2:6" ht="29.25" customHeight="1">
      <c r="B111" s="240" t="s">
        <v>371</v>
      </c>
      <c r="C111" s="241"/>
    </row>
    <row r="112" spans="2:6" ht="9" customHeight="1" thickBot="1"/>
    <row r="113" spans="2:3" ht="27" customHeight="1">
      <c r="B113" s="249" t="s">
        <v>374</v>
      </c>
      <c r="C113" s="250"/>
    </row>
    <row r="114" spans="2:3" ht="7.5" customHeight="1"/>
    <row r="115" spans="2:3" ht="53.25" customHeight="1">
      <c r="B115" s="240" t="s">
        <v>348</v>
      </c>
      <c r="C115" s="245"/>
    </row>
    <row r="116" spans="2:3" ht="6.75" customHeight="1"/>
    <row r="117" spans="2:3" ht="54" customHeight="1">
      <c r="B117" s="252" t="s">
        <v>354</v>
      </c>
      <c r="C117" s="253"/>
    </row>
  </sheetData>
  <mergeCells count="83">
    <mergeCell ref="B21:C21"/>
    <mergeCell ref="C3:C4"/>
    <mergeCell ref="B7:E7"/>
    <mergeCell ref="B9:E9"/>
    <mergeCell ref="B12:C12"/>
    <mergeCell ref="B13:C13"/>
    <mergeCell ref="B14:C14"/>
    <mergeCell ref="B15:C15"/>
    <mergeCell ref="B16:C16"/>
    <mergeCell ref="B18:C18"/>
    <mergeCell ref="B19:C19"/>
    <mergeCell ref="B20:C20"/>
    <mergeCell ref="B36:C36"/>
    <mergeCell ref="B23:C23"/>
    <mergeCell ref="B24:C24"/>
    <mergeCell ref="B25:C25"/>
    <mergeCell ref="B26:C26"/>
    <mergeCell ref="B27:C27"/>
    <mergeCell ref="B29:C29"/>
    <mergeCell ref="B30:C30"/>
    <mergeCell ref="B31:C31"/>
    <mergeCell ref="B32:C32"/>
    <mergeCell ref="B34:C34"/>
    <mergeCell ref="B35:C35"/>
    <mergeCell ref="B51:C51"/>
    <mergeCell ref="B37:C37"/>
    <mergeCell ref="B38:C38"/>
    <mergeCell ref="B40:C40"/>
    <mergeCell ref="B41:C41"/>
    <mergeCell ref="B42:C42"/>
    <mergeCell ref="B44:C44"/>
    <mergeCell ref="B45:C45"/>
    <mergeCell ref="B46:C46"/>
    <mergeCell ref="B47:C47"/>
    <mergeCell ref="B48:C48"/>
    <mergeCell ref="B50:C50"/>
    <mergeCell ref="B66:C66"/>
    <mergeCell ref="B52:C52"/>
    <mergeCell ref="B53:C53"/>
    <mergeCell ref="B55:E55"/>
    <mergeCell ref="B57:C57"/>
    <mergeCell ref="B58:C58"/>
    <mergeCell ref="B59:C59"/>
    <mergeCell ref="B60:C60"/>
    <mergeCell ref="B61:C61"/>
    <mergeCell ref="B63:C63"/>
    <mergeCell ref="B64:C64"/>
    <mergeCell ref="B65:C65"/>
    <mergeCell ref="B83:E83"/>
    <mergeCell ref="B67:C67"/>
    <mergeCell ref="B69:C69"/>
    <mergeCell ref="B70:C70"/>
    <mergeCell ref="B71:C71"/>
    <mergeCell ref="B73:C73"/>
    <mergeCell ref="B74:C74"/>
    <mergeCell ref="B76:C76"/>
    <mergeCell ref="B78:C78"/>
    <mergeCell ref="B79:C79"/>
    <mergeCell ref="B80:C80"/>
    <mergeCell ref="B81:C81"/>
    <mergeCell ref="B75:C75"/>
    <mergeCell ref="B99:C99"/>
    <mergeCell ref="B85:C85"/>
    <mergeCell ref="B86:C86"/>
    <mergeCell ref="B87:C87"/>
    <mergeCell ref="B88:C88"/>
    <mergeCell ref="B90:C90"/>
    <mergeCell ref="B91:C91"/>
    <mergeCell ref="B92:C92"/>
    <mergeCell ref="B93:C93"/>
    <mergeCell ref="B95:C95"/>
    <mergeCell ref="B97:C97"/>
    <mergeCell ref="B98:C98"/>
    <mergeCell ref="B111:C111"/>
    <mergeCell ref="B113:C113"/>
    <mergeCell ref="B115:C115"/>
    <mergeCell ref="B117:C117"/>
    <mergeCell ref="B101:C101"/>
    <mergeCell ref="B102:C102"/>
    <mergeCell ref="B103:C103"/>
    <mergeCell ref="B105:C105"/>
    <mergeCell ref="B107:C107"/>
    <mergeCell ref="B109:C109"/>
  </mergeCells>
  <pageMargins left="0.7" right="0.7" top="0.75" bottom="0.75" header="0.3" footer="0.3"/>
  <pageSetup paperSize="9" scale="89" fitToHeight="0" orientation="landscape"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C9C0C0-51A5-482F-9C81-E085DC46992A}">
  <sheetPr codeName="Sheet2"/>
  <dimension ref="A1"/>
  <sheetViews>
    <sheetView workbookViewId="0"/>
  </sheetViews>
  <sheetFormatPr defaultColWidth="9.140625"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6</vt:i4>
      </vt:variant>
      <vt:variant>
        <vt:lpstr>Named Ranges</vt:lpstr>
      </vt:variant>
      <vt:variant>
        <vt:i4>1</vt:i4>
      </vt:variant>
    </vt:vector>
  </HeadingPairs>
  <TitlesOfParts>
    <vt:vector size="7" baseType="lpstr">
      <vt:lpstr>SAV</vt:lpstr>
      <vt:lpstr>Référentiel</vt:lpstr>
      <vt:lpstr>Lexique et Notation</vt:lpstr>
      <vt:lpstr>Glossary and  notation EN</vt:lpstr>
      <vt:lpstr>Glossar und Bwertung DE</vt:lpstr>
      <vt:lpstr>Sheet2</vt:lpstr>
      <vt:lpstr>CodeLang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KONAN, Fabrice</dc:creator>
  <cp:lastModifiedBy>SZIGETI, Sandrine</cp:lastModifiedBy>
  <cp:lastPrinted>2022-02-03T08:19:14Z</cp:lastPrinted>
  <dcterms:created xsi:type="dcterms:W3CDTF">2019-07-15T07:39:14Z</dcterms:created>
  <dcterms:modified xsi:type="dcterms:W3CDTF">2025-08-22T12:43:31Z</dcterms:modified>
</cp:coreProperties>
</file>