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66925"/>
  <mc:AlternateContent xmlns:mc="http://schemas.openxmlformats.org/markup-compatibility/2006">
    <mc:Choice Requires="x15">
      <x15ac:absPath xmlns:x15ac="http://schemas.microsoft.com/office/spreadsheetml/2010/11/ac" url="X:\CLIENT-AFM\TABLEAUX DE BORD\BQ\2025\MODELES BQ\"/>
    </mc:Choice>
  </mc:AlternateContent>
  <xr:revisionPtr revIDLastSave="0" documentId="13_ncr:1_{F3E0D78F-E0E3-4832-9079-755C6B9D42D5}" xr6:coauthVersionLast="47" xr6:coauthVersionMax="47" xr10:uidLastSave="{00000000-0000-0000-0000-000000000000}"/>
  <bookViews>
    <workbookView xWindow="-28920" yWindow="-120" windowWidth="29040" windowHeight="15720" xr2:uid="{1E1B1B08-A035-4E19-8065-B954AAD5EA46}"/>
  </bookViews>
  <sheets>
    <sheet name="Cde tél" sheetId="1" r:id="rId1"/>
    <sheet name="Référentiel" sheetId="3" r:id="rId2"/>
    <sheet name="Lexique et Notation" sheetId="6" r:id="rId3"/>
    <sheet name="Glossary and notation EN" sheetId="7" r:id="rId4"/>
    <sheet name="Glossar und Bewertung DE" sheetId="9" r:id="rId5"/>
    <sheet name="Sheet2" sheetId="2" state="hidden" r:id="rId6"/>
  </sheets>
  <externalReferences>
    <externalReference r:id="rId7"/>
  </externalReferences>
  <definedNames>
    <definedName name="CodeLang" localSheetId="4">'[1]Cde tél'!$B$3</definedName>
    <definedName name="CodeLang" localSheetId="2">'[1]Cde tél'!$B$3</definedName>
    <definedName name="CodeLang">'Cde tél'!$B$3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O23" i="1" l="1"/>
  <c r="AM23" i="1"/>
  <c r="AK23" i="1"/>
  <c r="AI23" i="1"/>
  <c r="AG23" i="1"/>
  <c r="AE23" i="1"/>
  <c r="AC23" i="1"/>
  <c r="AA23" i="1"/>
  <c r="Y23" i="1"/>
  <c r="W23" i="1"/>
  <c r="U23" i="1"/>
  <c r="S23" i="1"/>
  <c r="Q23" i="1"/>
  <c r="O23" i="1"/>
  <c r="M23" i="1"/>
  <c r="L22" i="1"/>
  <c r="B2" i="1"/>
  <c r="AL21" i="1"/>
  <c r="AH21" i="1"/>
  <c r="BA6" i="1" l="1"/>
  <c r="BA5" i="1"/>
  <c r="BA4" i="1"/>
  <c r="BA3" i="1"/>
  <c r="AL34" i="1"/>
  <c r="AM34" i="1"/>
  <c r="AN34" i="1"/>
  <c r="AO34" i="1"/>
  <c r="AO35" i="1" s="1"/>
  <c r="AP34" i="1"/>
  <c r="AP35" i="1" s="1"/>
  <c r="AQ34" i="1"/>
  <c r="AN22" i="1"/>
  <c r="AL22" i="1"/>
  <c r="AJ22" i="1"/>
  <c r="AH22" i="1"/>
  <c r="AF22" i="1"/>
  <c r="AD22" i="1"/>
  <c r="AB22" i="1"/>
  <c r="Z22" i="1"/>
  <c r="X22" i="1"/>
  <c r="V22" i="1"/>
  <c r="T22" i="1"/>
  <c r="R22" i="1"/>
  <c r="P22" i="1"/>
  <c r="N22" i="1"/>
  <c r="Z21" i="1"/>
  <c r="L21" i="1"/>
  <c r="BC6" i="1" l="1"/>
  <c r="AL35" i="1"/>
  <c r="BB6" i="1"/>
  <c r="AM35" i="1"/>
  <c r="AN35" i="1"/>
  <c r="AQ35" i="1"/>
  <c r="K21" i="1"/>
  <c r="J21" i="1"/>
  <c r="I21" i="1"/>
  <c r="H21" i="1"/>
  <c r="F21" i="1"/>
  <c r="G21" i="1"/>
  <c r="E21" i="1"/>
  <c r="D21" i="1"/>
  <c r="C21" i="1"/>
  <c r="B21" i="1"/>
  <c r="L23" i="1"/>
  <c r="AX23" i="1" l="1"/>
  <c r="AV23" i="1"/>
  <c r="AT23" i="1"/>
  <c r="AN23" i="1"/>
  <c r="AL23" i="1"/>
  <c r="AH23" i="1"/>
  <c r="C5" i="1" l="1"/>
  <c r="Z23" i="1" l="1"/>
  <c r="B35" i="1"/>
  <c r="B34" i="1"/>
  <c r="C37" i="1"/>
  <c r="AZ21" i="1"/>
  <c r="AZ23" i="1"/>
  <c r="AJ23" i="1"/>
  <c r="AF23" i="1"/>
  <c r="AD23" i="1"/>
  <c r="AB23" i="1"/>
  <c r="X23" i="1"/>
  <c r="V23" i="1"/>
  <c r="T23" i="1"/>
  <c r="R23" i="1"/>
  <c r="P23" i="1"/>
  <c r="N23" i="1"/>
  <c r="BD4" i="1"/>
  <c r="BA21" i="1" l="1"/>
  <c r="C10" i="1"/>
  <c r="BD7" i="1"/>
  <c r="C11" i="1"/>
  <c r="BD3" i="1"/>
  <c r="C4" i="1"/>
  <c r="C3" i="1"/>
  <c r="C12" i="1"/>
  <c r="C9" i="1"/>
  <c r="C8" i="1"/>
  <c r="C7" i="1"/>
  <c r="C6" i="1"/>
  <c r="D2" i="1"/>
  <c r="C2" i="1" l="1"/>
  <c r="U34" i="1" l="1"/>
  <c r="U35" i="1" l="1"/>
  <c r="S34" i="1"/>
  <c r="S35" i="1" s="1"/>
  <c r="R34" i="1"/>
  <c r="R35" i="1" s="1"/>
  <c r="AZ25" i="1" l="1"/>
  <c r="AZ26" i="1"/>
  <c r="AZ27" i="1"/>
  <c r="AZ28" i="1"/>
  <c r="AZ29" i="1"/>
  <c r="AZ30" i="1"/>
  <c r="AZ31" i="1"/>
  <c r="AZ32" i="1"/>
  <c r="AZ33" i="1"/>
  <c r="AZ24" i="1"/>
  <c r="AK34" i="1" l="1"/>
  <c r="AK35" i="1" s="1"/>
  <c r="AJ34" i="1"/>
  <c r="Y34" i="1"/>
  <c r="Y35" i="1" s="1"/>
  <c r="X34" i="1"/>
  <c r="X35" i="1" s="1"/>
  <c r="W34" i="1"/>
  <c r="V34" i="1"/>
  <c r="V35" i="1" s="1"/>
  <c r="AC34" i="1"/>
  <c r="AB34" i="1"/>
  <c r="AG34" i="1"/>
  <c r="AG35" i="1" s="1"/>
  <c r="AF34" i="1"/>
  <c r="AF35" i="1" s="1"/>
  <c r="AC35" i="1" l="1"/>
  <c r="AJ35" i="1"/>
  <c r="AB35" i="1"/>
  <c r="W35" i="1"/>
  <c r="O34" i="1"/>
  <c r="O35" i="1" s="1"/>
  <c r="N34" i="1"/>
  <c r="N35" i="1" s="1"/>
  <c r="BE7" i="1" l="1"/>
  <c r="BE3" i="1"/>
  <c r="AH34" i="1"/>
  <c r="BB5" i="1" s="1"/>
  <c r="AI34" i="1"/>
  <c r="BC5" i="1" s="1"/>
  <c r="T34" i="1"/>
  <c r="Z34" i="1"/>
  <c r="AA34" i="1"/>
  <c r="AD34" i="1"/>
  <c r="AE34" i="1"/>
  <c r="Q34" i="1"/>
  <c r="P34" i="1"/>
  <c r="M34" i="1"/>
  <c r="BC3" i="1" s="1"/>
  <c r="L34" i="1"/>
  <c r="BC4" i="1" l="1"/>
  <c r="BB3" i="1"/>
  <c r="BB4" i="1"/>
  <c r="AI35" i="1"/>
  <c r="AE35" i="1"/>
  <c r="AA35" i="1"/>
  <c r="Q35" i="1"/>
  <c r="M35" i="1"/>
  <c r="AH35" i="1"/>
  <c r="AD35" i="1"/>
  <c r="Z35" i="1"/>
  <c r="T35" i="1"/>
  <c r="P35" i="1"/>
  <c r="L35" i="1"/>
  <c r="AZ34" i="1"/>
  <c r="AZ35" i="1" l="1"/>
  <c r="BE4" i="1"/>
</calcChain>
</file>

<file path=xl/sharedStrings.xml><?xml version="1.0" encoding="utf-8"?>
<sst xmlns="http://schemas.openxmlformats.org/spreadsheetml/2006/main" count="694" uniqueCount="414">
  <si>
    <t>pays</t>
  </si>
  <si>
    <t>langue</t>
  </si>
  <si>
    <t>prestataire</t>
  </si>
  <si>
    <t>Nombre de suivis</t>
  </si>
  <si>
    <t>objectif</t>
  </si>
  <si>
    <t>n° d'appel</t>
  </si>
  <si>
    <t>agent</t>
  </si>
  <si>
    <t>n° tel</t>
  </si>
  <si>
    <t>nom du contrôle</t>
  </si>
  <si>
    <t>Note sur 100</t>
  </si>
  <si>
    <t>commentaire</t>
  </si>
  <si>
    <t>type de cde</t>
  </si>
  <si>
    <t>note</t>
  </si>
  <si>
    <t>barème</t>
  </si>
  <si>
    <t>note totale</t>
  </si>
  <si>
    <t>Prise de congés</t>
  </si>
  <si>
    <t>Climat</t>
  </si>
  <si>
    <t>date contrôle</t>
  </si>
  <si>
    <t>Demande client</t>
  </si>
  <si>
    <t>Evaluation commandes tèl</t>
  </si>
  <si>
    <t>identifiant</t>
  </si>
  <si>
    <t>évaluateur</t>
  </si>
  <si>
    <t>date de traitement</t>
  </si>
  <si>
    <t>x</t>
  </si>
  <si>
    <t>FR</t>
  </si>
  <si>
    <t>GB</t>
  </si>
  <si>
    <t>DE</t>
  </si>
  <si>
    <t>control name</t>
  </si>
  <si>
    <t>Kontrollname</t>
  </si>
  <si>
    <t>Langue</t>
  </si>
  <si>
    <t>1FR</t>
  </si>
  <si>
    <t>Telefonische Auftragsauswertung</t>
  </si>
  <si>
    <t>Phone order evaluation</t>
  </si>
  <si>
    <t>2GB</t>
  </si>
  <si>
    <t>3DE</t>
  </si>
  <si>
    <t>n° client</t>
  </si>
  <si>
    <t>n°cde n°req</t>
  </si>
  <si>
    <t>DMT DMC</t>
  </si>
  <si>
    <t>commentaire global</t>
  </si>
  <si>
    <t>sous total</t>
  </si>
  <si>
    <t>total</t>
  </si>
  <si>
    <t>Identifikator</t>
  </si>
  <si>
    <t>country</t>
  </si>
  <si>
    <t>lang</t>
  </si>
  <si>
    <t>Sprache</t>
  </si>
  <si>
    <t>Anbieter</t>
  </si>
  <si>
    <t>provider</t>
  </si>
  <si>
    <t>processing date</t>
  </si>
  <si>
    <t>number of follow-ups</t>
  </si>
  <si>
    <t>assessor</t>
  </si>
  <si>
    <t>Prüfer</t>
  </si>
  <si>
    <t>Zielsetzung</t>
  </si>
  <si>
    <t>objective</t>
  </si>
  <si>
    <t>check date</t>
  </si>
  <si>
    <t>Prüfdatum</t>
  </si>
  <si>
    <t>Kommentar</t>
  </si>
  <si>
    <t>commentary</t>
  </si>
  <si>
    <t>rating out of 100</t>
  </si>
  <si>
    <t>total score</t>
  </si>
  <si>
    <t>Gesamtergebnis</t>
  </si>
  <si>
    <t>Gesamtkommentar</t>
  </si>
  <si>
    <t>overall comment</t>
  </si>
  <si>
    <t>subtotal</t>
  </si>
  <si>
    <t>Zwischensumme</t>
  </si>
  <si>
    <t>Summe</t>
  </si>
  <si>
    <t>call number</t>
  </si>
  <si>
    <t>Kundennummer</t>
  </si>
  <si>
    <t>customer number</t>
  </si>
  <si>
    <t>request number</t>
  </si>
  <si>
    <t>Telefonnummer</t>
  </si>
  <si>
    <t>tel number</t>
  </si>
  <si>
    <t>Auftragsart</t>
  </si>
  <si>
    <t>order type</t>
  </si>
  <si>
    <t>customer request</t>
  </si>
  <si>
    <t>Kundenanfrage</t>
  </si>
  <si>
    <t>commentaire traduit en Français</t>
  </si>
  <si>
    <t>Land</t>
  </si>
  <si>
    <t>Agent</t>
  </si>
  <si>
    <t>Ticketnummer</t>
  </si>
  <si>
    <t>Bearbeitungsdatum</t>
  </si>
  <si>
    <t>Anzahl der Prüfungen</t>
  </si>
  <si>
    <t>Punktzahl</t>
  </si>
  <si>
    <t>Nummer</t>
  </si>
  <si>
    <t>de</t>
  </si>
  <si>
    <t>fr</t>
  </si>
  <si>
    <t>nl</t>
  </si>
  <si>
    <t>cs</t>
  </si>
  <si>
    <t>en</t>
  </si>
  <si>
    <t>pl</t>
  </si>
  <si>
    <t>sk</t>
  </si>
  <si>
    <t>BE</t>
  </si>
  <si>
    <t>AT</t>
  </si>
  <si>
    <t>CH</t>
  </si>
  <si>
    <t>CZ</t>
  </si>
  <si>
    <t>NL</t>
  </si>
  <si>
    <t>PL</t>
  </si>
  <si>
    <t>SK</t>
  </si>
  <si>
    <t>DCS</t>
  </si>
  <si>
    <t>GETALINE</t>
  </si>
  <si>
    <t>OUTSOURCIA</t>
  </si>
  <si>
    <t>fid</t>
  </si>
  <si>
    <t>rec</t>
  </si>
  <si>
    <t>PACKWAY</t>
  </si>
  <si>
    <t>hu</t>
  </si>
  <si>
    <t>HU</t>
  </si>
  <si>
    <t>INTERNE</t>
  </si>
  <si>
    <t>CA</t>
  </si>
  <si>
    <t>ID contact</t>
  </si>
  <si>
    <t>scale</t>
  </si>
  <si>
    <t>Skala</t>
  </si>
  <si>
    <t>Relation client</t>
  </si>
  <si>
    <t>Connaissance métier</t>
  </si>
  <si>
    <t>Technique de vente</t>
  </si>
  <si>
    <t>Expérience client</t>
  </si>
  <si>
    <t>Identification</t>
  </si>
  <si>
    <t>Conclusion de contact</t>
  </si>
  <si>
    <t>Personnalisation</t>
  </si>
  <si>
    <t>Pré-commande (demande code avantage)</t>
  </si>
  <si>
    <t>Commande : nom des articles, prix disponibilités</t>
  </si>
  <si>
    <t>Traitement/utilisation des outils</t>
  </si>
  <si>
    <t>Collecte des coordonnées bancaires</t>
  </si>
  <si>
    <t>Proposition (rebond commercial)</t>
  </si>
  <si>
    <t>Traitement de l'objection</t>
  </si>
  <si>
    <t>Ecoute active</t>
  </si>
  <si>
    <t>Accompagnement client</t>
  </si>
  <si>
    <t>GRILLE AFM " COMMANDE TEL"</t>
  </si>
  <si>
    <t>Critère et items Qualité</t>
  </si>
  <si>
    <t>RELATION CLIENT</t>
  </si>
  <si>
    <t>Accueil</t>
  </si>
  <si>
    <t>Notation</t>
  </si>
  <si>
    <t>Barème AFM</t>
  </si>
  <si>
    <r>
      <t>L`accueil est normé (Atlas for Men , ``votre prenom``,bonjour,Vous me rappelez votre numéro de client s`il vous plait?) clair et compréhensible.</t>
    </r>
    <r>
      <rPr>
        <b/>
        <sz val="12"/>
        <color rgb="FFFF0000"/>
        <rFont val="Century Gothic"/>
        <family val="2"/>
      </rPr>
      <t xml:space="preserve"> </t>
    </r>
    <r>
      <rPr>
        <sz val="12"/>
        <color rgb="FF595959"/>
        <rFont val="Century Gothic"/>
        <family val="2"/>
      </rPr>
      <t xml:space="preserve">
</t>
    </r>
  </si>
  <si>
    <t>Maîtrisé</t>
  </si>
  <si>
    <t xml:space="preserve">L'accueil n'est pas normé : absence d'un élément de présentation ou absence d'accueil / faux départ </t>
  </si>
  <si>
    <t>A perfectionner</t>
  </si>
  <si>
    <t xml:space="preserve">L'accueil n'est pas correct mais ne nécessite pas une SI  </t>
  </si>
  <si>
    <t>Non maîtrisé</t>
  </si>
  <si>
    <t xml:space="preserve">SI . Le conseiller est manifestement incorrect avec le client durant l'accueil </t>
  </si>
  <si>
    <t>SI</t>
  </si>
  <si>
    <t>0 sur le suivi</t>
  </si>
  <si>
    <t>Barème</t>
  </si>
  <si>
    <t>Climat de l'appel</t>
  </si>
  <si>
    <t>+'Le ton employé est cordial et respectueux. Le sourire, empathie et dynamisme sont présents.
'+'Le conseiller utilise un registre de langage professionnel et des formulations positives.</t>
  </si>
  <si>
    <t xml:space="preserve">Un ou plusieurs des éléments (sourire, empathie, dynamisme, langage, formulation) restent encore à travailler  </t>
  </si>
  <si>
    <t xml:space="preserve">L'agent n'est pas incorrect avec client mais le climat d'appel n'est pas maîtrisé </t>
  </si>
  <si>
    <t>SI: Le conseiller est manifestement incorrect avec le client.</t>
  </si>
  <si>
    <t>Respect de la mise en attente</t>
  </si>
  <si>
    <t>NA</t>
  </si>
  <si>
    <t>Le conseiller annonce clairement l'objet de la mise en attente/transfert et reprend l'appel en remerciant d'avoir patienté sans avoir dépassé 1m30s sans reprise du client.</t>
  </si>
  <si>
    <t>Conforme</t>
  </si>
  <si>
    <t>Non conforme</t>
  </si>
  <si>
    <t>SI:Le client est interrompu, le Conseiller le met en attente de façon intempestive ou si la durée de mise en attente dépasse 3mn sans reprise.</t>
  </si>
  <si>
    <t>Conclusion du contact</t>
  </si>
  <si>
    <t>Maîtrisée</t>
  </si>
  <si>
    <t>Le conseiller oubli de mentionner l'un des éléments ci-dessus</t>
  </si>
  <si>
    <t>Le conseiller ne confirme aucun élément</t>
  </si>
  <si>
    <t xml:space="preserve">Non maîtrisée </t>
  </si>
  <si>
    <t>Prise de congé</t>
  </si>
  <si>
    <t xml:space="preserve">Le conseiller assure une prise de congé courtoise et normée ``Je vous remercie de votre commande et je vous souhaite une bonne journée de la part d'Atlas For Men, Au revoir M/MME XXX``. </t>
  </si>
  <si>
    <t>Pas de prise de congés ou la manière de faire n'est pas normée</t>
  </si>
  <si>
    <t>Non maîtrisée</t>
  </si>
  <si>
    <t>SI: Le conseiller est manifestement incorrect avec le client lors de la prise de congé ou la prise de congé est absente.</t>
  </si>
  <si>
    <t>Le conseiller personnalise le contact avec le nom du client lors de l'identification et de la VA (Obligatoire) et lors de la conclusion du contact ou lors de la prise de congé.</t>
  </si>
  <si>
    <t>Le conseiller omet de faire la personnalisation à une des étapes suivantes : identification, VA, conclusion du contact ou pris de congés</t>
  </si>
  <si>
    <t xml:space="preserve">TECHNIQUE DE VENTE </t>
  </si>
  <si>
    <t>Rebond commercial</t>
  </si>
  <si>
    <t xml:space="preserve">Si le code avantage le permet, le conseiller propose 2 articles, dans le cas où la 1ere VA n'a pas été acceptée. Celle-ci doit être adaptée au contexte et est obligatoire. </t>
  </si>
  <si>
    <t>Complet</t>
  </si>
  <si>
    <t xml:space="preserve">Le conseiller n'utilise pas la bonne technique de vente </t>
  </si>
  <si>
    <t>SI: Le conseiller ne fait aucune proposition commerciale alors que possible ou n'en fait qu'une.</t>
  </si>
  <si>
    <t>Traitement d'objection</t>
  </si>
  <si>
    <t xml:space="preserve">Le conseiller analyse et identifie l'objection et la traite de manière efficace en utilisant les techniques de références appropriées. </t>
  </si>
  <si>
    <t>Le conseiller doit travailler son objection avec les bonnes techniques</t>
  </si>
  <si>
    <t>SI: Le conseiller ne traite pas l'objection du client.</t>
  </si>
  <si>
    <t xml:space="preserve">CONNAISSANCE METIER </t>
  </si>
  <si>
    <t>Pré-commande</t>
  </si>
  <si>
    <t>Le conseiller demande le code avantage au client, si celui-ci ne l'a pas, poser des questions pertinentes afin d'adapter le code avantage.</t>
  </si>
  <si>
    <t>Le conseiller ne demande le code avantage au client et ne pose aucune question</t>
  </si>
  <si>
    <t>Commande</t>
  </si>
  <si>
    <t>Traitement/Utilisation des outils</t>
  </si>
  <si>
    <t>Le conseiller sait lire, rechercher et effectuer toutes les actions nécessaires à la prise d'une commande dans SUSI.</t>
  </si>
  <si>
    <t xml:space="preserve">Le conseiller ne sait pas utiliser les outils mis à sa disposition	</t>
  </si>
  <si>
    <t xml:space="preserve">Le conseiller désactive l'enregistrement lors de la prise de coordonnées bancaires puis le réactive juste après. </t>
  </si>
  <si>
    <t>SI: Le conseiller ne désactive pas l'enregistrement lors de la prise de coordonnées bancaires ou ne le ré-active pas après le paiement.</t>
  </si>
  <si>
    <t>SI: Le conseiller communique un délai de traitement erroné ou ne le communique pas alors que l'information est accessible à son niveau.</t>
  </si>
  <si>
    <t>EXPERIENCE CLIENT</t>
  </si>
  <si>
    <t>Ecoute active tout au long de l'appel</t>
  </si>
  <si>
    <t>Le conseiller montre qu`il est à l`écoute en laissant le client s`exprimer, ne coupe pas la parole, acquiesce (``d`accord, Oui...``)</t>
  </si>
  <si>
    <t xml:space="preserve">Le conseiller manque d'écoute et coupe la parole à son client </t>
  </si>
  <si>
    <t>Le conseiller ne pas du tout à l'écoute de son client</t>
  </si>
  <si>
    <t xml:space="preserve">Le conseiller effectue un accompagnement adapté au contexte dans un climat professionnel. Le conseiller rassure le client lorsque cela est nécessaire. Il l`accompagne pas à pas dans ses démarches et n`hésite pas à reformuler ses réponses lorsque le client en a besoin. Le client doit comprendre qu`il est entièrement pris en charge. </t>
  </si>
  <si>
    <t>Le conseiller doit travailler son accompagnement afin que le client se sente pris en charge</t>
  </si>
  <si>
    <t xml:space="preserve">Le conseiller fait preuve d'aucun accompagnement client. Il ne le rassure pas. Le climat de l'appel n'est pas adapté. </t>
  </si>
  <si>
    <t xml:space="preserve">LISTE DES SITUATIONS INACCEPTABLES </t>
  </si>
  <si>
    <t>Barème OUT</t>
  </si>
  <si>
    <t xml:space="preserve">A MODIFIER COTE OUT </t>
  </si>
  <si>
    <t xml:space="preserve">Le conseiller ne maîtrise pas les techniques de l'objection </t>
  </si>
  <si>
    <t xml:space="preserve">Le conseiller ne maîtrise pas VA </t>
  </si>
  <si>
    <t xml:space="preserve"> Le conseiller oubli de donner l'objet de la mise en attente ou ne remercie pas à la repise de l'appel</t>
  </si>
  <si>
    <t>Le conseiller confirme le total de la commande en incluant les frais d'expédition, les délais de livraison selon le mode choisi ainsi que le cadeau qu'il recevra. Proposition de la livraison en Mondial relais (pour FR uniquement )</t>
  </si>
  <si>
    <t>A pefectionner</t>
  </si>
  <si>
    <t xml:space="preserve">SI: Le conseiller ne compléte la fiche client par l'adresse mail et/ou le numéro de portable (ou par défaut le fixe) </t>
  </si>
  <si>
    <t>Customer relationship</t>
  </si>
  <si>
    <t>Professional competence</t>
  </si>
  <si>
    <t>Sales technique</t>
  </si>
  <si>
    <t>Customer experience</t>
  </si>
  <si>
    <t>Reception</t>
  </si>
  <si>
    <t>Climate</t>
  </si>
  <si>
    <t>Respect of the waiting time</t>
  </si>
  <si>
    <t>Conclusion of contact</t>
  </si>
  <si>
    <t>Leave-taking</t>
  </si>
  <si>
    <t>Personalization</t>
  </si>
  <si>
    <t>Pre-order (request benefit code)</t>
  </si>
  <si>
    <t>Ordering: item names, prices, availability</t>
  </si>
  <si>
    <t>Processing/use of tools</t>
  </si>
  <si>
    <t>Collection of bank details</t>
  </si>
  <si>
    <t>Proposal (sales bounce)</t>
  </si>
  <si>
    <t>Handling of the objection</t>
  </si>
  <si>
    <t>Active listening</t>
  </si>
  <si>
    <t>Customer support</t>
  </si>
  <si>
    <t>AFM PHONE ORDER RATING BOARD</t>
  </si>
  <si>
    <t>Criteria and quality item</t>
  </si>
  <si>
    <t>Note</t>
  </si>
  <si>
    <t>Scale</t>
  </si>
  <si>
    <t xml:space="preserve">The reception is standard (Atlas for Men, `your name`, hello, can you remind me of your customer number please?) clear and understandable. </t>
  </si>
  <si>
    <t>Achieved</t>
  </si>
  <si>
    <t xml:space="preserve">The reception is not in accordance with standards: absence of an item of presentation or missing reception / wrong start </t>
  </si>
  <si>
    <t>To improve</t>
  </si>
  <si>
    <t>The reception is not correct but does not deserve an unacceptable situation</t>
  </si>
  <si>
    <t>Not achieved</t>
  </si>
  <si>
    <t xml:space="preserve">The consultant is obviously incorrect with the customer during the reception </t>
  </si>
  <si>
    <t>Unacceptable situation</t>
  </si>
  <si>
    <t>0 on the whole following-up</t>
  </si>
  <si>
    <t xml:space="preserve">The consultant confirms or requests the following information: full name, full address, mobile phone number (or by default landline), date of birth and e-mail address.	</t>
  </si>
  <si>
    <t>The consultant does not confirm at least one of those elements.</t>
  </si>
  <si>
    <t xml:space="preserve">The consultant does not complete the customer file with the email address and/or mobile number (or by default the landline) 	</t>
  </si>
  <si>
    <t xml:space="preserve">+The consultant is cordial and respectful.Smiles, empathy and dynamism are present.
+'The agent uses professional language and positive formulations.	</t>
  </si>
  <si>
    <t xml:space="preserve">One or more of the elements (smile, empathy, dynamism, language, formulation) still need to be worked on </t>
  </si>
  <si>
    <t xml:space="preserve">The agent is not incorrect with the customer but the call climate is not handled well 	</t>
  </si>
  <si>
    <t>The consultant is clearly incorrect with the customer.</t>
  </si>
  <si>
    <t>Respect of the hold on time</t>
  </si>
  <si>
    <t xml:space="preserve">The consultant clearly announces the purpose of the hold/transfer and resumes the call by thanking the customer for having waited without having exceeded 1m30s without resuming the customer.	</t>
  </si>
  <si>
    <t>In accordance</t>
  </si>
  <si>
    <t>The consultant forgets to give the purpose of the call on hold or does not thank the customer when the call is resumed.</t>
  </si>
  <si>
    <t>Not in accordance</t>
  </si>
  <si>
    <t xml:space="preserve">The customer is interrupted, the advisor puts him/her on hold in an untimely manner or if the duration of the hold exceeds 3 minutes without resumption.	</t>
  </si>
  <si>
    <t>Ending of the contact</t>
  </si>
  <si>
    <t>The consultant confirms the total of the order including the shipping costs, the delivery time according to the chosen method as well as the gift he will receive.</t>
  </si>
  <si>
    <t>The consultant forgets to mention any of the above</t>
  </si>
  <si>
    <t>The consultant does not confirm any elements</t>
  </si>
  <si>
    <t>Taking leave</t>
  </si>
  <si>
    <t xml:space="preserve">The consultant provides a courteous and standardised leave-taking ``Thank you for your order and have a nice day on behalf of Atlas For Men, Goodbye Mr/Mrs XXX``. </t>
  </si>
  <si>
    <t>No leave taken or no formal way of doing things</t>
  </si>
  <si>
    <t>The consultant is obviously incorrect with the customer when taken leave,or no leave at all.</t>
  </si>
  <si>
    <t>Personnalization</t>
  </si>
  <si>
    <t xml:space="preserve">The consultant personalizes the contact with the customer's name during the identification and additional sales (Mandatory) and when concluding the contact or when leaving.	</t>
  </si>
  <si>
    <t xml:space="preserve">The consultant fails to personalise at any of the following stages: identification, upselling, closing the contact or taking leave	</t>
  </si>
  <si>
    <t xml:space="preserve">SALES TECHNIQUE </t>
  </si>
  <si>
    <t>Commercial Rebounce</t>
  </si>
  <si>
    <t xml:space="preserve">If the advantage code allows it, the advisor proposes 2 items, in case the 1st additional sale was not accepted.  This one must be adapted to the context and is mandatory. </t>
  </si>
  <si>
    <t xml:space="preserve">The consultant does not use the right sales technique </t>
  </si>
  <si>
    <t xml:space="preserve">The consultant does not handle upselling </t>
  </si>
  <si>
    <t>The consultant does not make a commercial presentation when possible or only makes one.</t>
  </si>
  <si>
    <t xml:space="preserve">Objection handling	</t>
  </si>
  <si>
    <t xml:space="preserve">The consultant analyses and identifies the objection and deals with it in an appropriate way using appropriate benchmark techniques. </t>
  </si>
  <si>
    <t>The consultant has to work on his objection with the right techniques</t>
  </si>
  <si>
    <t xml:space="preserve">The consultant does not handle the techniques of objection </t>
  </si>
  <si>
    <t>The consultant does not deal with the customer's objection.</t>
  </si>
  <si>
    <t xml:space="preserve">PROFESSIONAL KNOWLEDGE </t>
  </si>
  <si>
    <t xml:space="preserve">Pre-order	</t>
  </si>
  <si>
    <t xml:space="preserve">The consultant asks the customer for the promocode, if the customer does not have it, ask relevant questions to adapt the promo code.	</t>
  </si>
  <si>
    <t>The consultant does not ask the customer for the promotion code and does not ask any questions</t>
  </si>
  <si>
    <t>Order</t>
  </si>
  <si>
    <t>The consultant collects the references and sizes of the items the customer wishes to order and indicates the description, availability and price of each item.</t>
  </si>
  <si>
    <t xml:space="preserve">The consultant fails to repeat the designation or availability or price </t>
  </si>
  <si>
    <t xml:space="preserve">The consultant does not tell the customer if the item is unavailable, misses repeating the item and its price </t>
  </si>
  <si>
    <t>Use/handling of tools</t>
  </si>
  <si>
    <t xml:space="preserve">The consultant knows how to read, search and carry out all the actions necessary to place an order in SUSI.	</t>
  </si>
  <si>
    <t>The consultant does not know how to use the tools at his disposal</t>
  </si>
  <si>
    <t>Collecting bank details</t>
  </si>
  <si>
    <t xml:space="preserve">The consultant switches off the recording when the bank details are taken and then switches it back on again immediately afterwards. </t>
  </si>
  <si>
    <t>The consultant does not switch off the recording when taking bank details or turn it on again after payment.</t>
  </si>
  <si>
    <t>CUSTOMER EXPERIENCE</t>
  </si>
  <si>
    <t>Active listening throughout the call</t>
  </si>
  <si>
    <t>The consultant shows that he/she is listening by letting the client express him/herself, does not interrupt, nods (``Agree, Yes...``)</t>
  </si>
  <si>
    <t xml:space="preserve">The consultant lacks listening skills and interrupts the client's conversation </t>
  </si>
  <si>
    <t>The consultant does not pay attention to the client at all</t>
  </si>
  <si>
    <t>The consultant provides appropriate support in a professional atmosphere. The consultant reassures the customer when necessary. The consultant takes the customer step by step through the process and does not hesitate to rephrase his or her answers when the customer needs them. The client must understand that he/she is fully taken care of.</t>
  </si>
  <si>
    <t>The consultant has to work on his support so that the client feels taken care of</t>
  </si>
  <si>
    <t xml:space="preserve">The consultant shows no customer support. He does not reassure him. The climate of the call is not appropriate. </t>
  </si>
  <si>
    <t>LIST OF UNACCEPTABLE SITUATIONS</t>
  </si>
  <si>
    <t>The consultant is obviously incorrect with the customer during the reception.</t>
  </si>
  <si>
    <t xml:space="preserve">The consultant does not complete the customer file with the email address and/or mobile number (or by default the landline) </t>
  </si>
  <si>
    <t>The consultant is obviously incorrect with the customer.</t>
  </si>
  <si>
    <t>The customer is interrupted, the consultant puts him on hold in an inopportune way or if the holding time exceeds 3m without being resumed</t>
  </si>
  <si>
    <t>The consultant is obviously incorrect with the client when taking leave, no time out.</t>
  </si>
  <si>
    <t>The consultant does not make a commercial proposal when possible or only makes one.</t>
  </si>
  <si>
    <t>The consultant does not switch off the recording when taking bank details or switch it back on after payment.</t>
  </si>
  <si>
    <t>The consultant communicates an incorrect processing time or does not communicate it even though the information is available at his/her level.</t>
  </si>
  <si>
    <t>Kundenbeziehung</t>
  </si>
  <si>
    <t>Fachkompetenz</t>
  </si>
  <si>
    <t>Kundenerfahrung</t>
  </si>
  <si>
    <t>Verkaufstechnik</t>
  </si>
  <si>
    <t>Begrüßung</t>
  </si>
  <si>
    <t>Identifikation</t>
  </si>
  <si>
    <t>Klima</t>
  </si>
  <si>
    <t>Respektieren der Wartezeiten</t>
  </si>
  <si>
    <t>Beendigung des Kontaktes</t>
  </si>
  <si>
    <t>Verabschiedung</t>
  </si>
  <si>
    <t>Personalisierung</t>
  </si>
  <si>
    <t>vor Bestellung (Abfrage Vorteilscode)</t>
  </si>
  <si>
    <t>Bestellung: Artikelnamen, Preise, Verfügbarkeiten</t>
  </si>
  <si>
    <t>Nutzung/Umgang mit den Arbeitsmitteln</t>
  </si>
  <si>
    <t>Aufnahme der Bankdaten</t>
  </si>
  <si>
    <t>Angebot (Upselling)</t>
  </si>
  <si>
    <t>Umgang mit Ablehnung des Upselliings</t>
  </si>
  <si>
    <t>Aktives Zuhören</t>
  </si>
  <si>
    <t>SI: Der/die Berater/in deaktiviert die Aufzeichnung nicht bei der Aufnahme der Bankdaten oder aktiviert sie nach der Zahlung nicht wieder.</t>
  </si>
  <si>
    <t>SI: Der/die Berater/in geht überhaupt nicht auf die Ablehnung des Kunden ein.</t>
  </si>
  <si>
    <t>SI: 'Der/die Berater/in unterlässt das Upselling, obwohl es möglich wäre, oder bietet nur einen Artikel an.</t>
  </si>
  <si>
    <t>SI: Der/die Berater/in ergänzt die Kundendaten nicht um die Emailadresse und/oder die Handynummer (oder mindestens eine Festnetznummer)</t>
  </si>
  <si>
    <t>LISTE DER INAKZEPTABLEN SITUATIONEN (SI)</t>
  </si>
  <si>
    <t>nicht erfüllt</t>
  </si>
  <si>
    <t>zu verbessern</t>
  </si>
  <si>
    <t>erfüllt</t>
  </si>
  <si>
    <t>Punkteschlüssel</t>
  </si>
  <si>
    <t>Beurteilung</t>
  </si>
  <si>
    <t>Der/die Berater/in hört dem Kunden überhaupt nicht zu</t>
  </si>
  <si>
    <t xml:space="preserve">Der/die Berater/in hört nicht richtig zu und schneidet dem Kunden das Wort ab. </t>
  </si>
  <si>
    <t>Aktives Zuhören während des gesamten Gesprächs</t>
  </si>
  <si>
    <t>KUNDENERFAHRUNG</t>
  </si>
  <si>
    <t>0 für das gesamte Monitoring</t>
  </si>
  <si>
    <t xml:space="preserve"> Der/die Berater/in schaltet die Aufzeichnung bei der Aufnahme der Bankdaten aus und gleich danach wieder ein. </t>
  </si>
  <si>
    <t xml:space="preserve"> Der/die Berater/in weiß nicht, wie er/sie die ihm/ihr zur Verfügung gestellten Arbeitsmittel nutzen soll.</t>
  </si>
  <si>
    <t xml:space="preserve">Nicht bewertet </t>
  </si>
  <si>
    <t xml:space="preserve">Der/Die Berater/in teilt dem Kunden nicht mit, wenn ein Artikel nicht verfügbar ist, wiederholt den Artikel und den Preis nicht. </t>
  </si>
  <si>
    <t xml:space="preserve"> Der/die Berater/in nimmt die Artikelnummern, die Größen der Artikel, die der Kunde bestellen möchte, auf und teilt ihm die Bezeichnung, die Verfügbarkeit und den Preis jedes Artikels mit.</t>
  </si>
  <si>
    <t xml:space="preserve"> Der/die Berater/in fragt den Kunden nicht nach dem Vorteilscode und stellt keine Fragen</t>
  </si>
  <si>
    <t>FACHKOMPETENZ</t>
  </si>
  <si>
    <t>Umgang mit einer Ablehnung</t>
  </si>
  <si>
    <t>Der/die Berater/in beherrscht die richtige Verkaufstechnik nicht.</t>
  </si>
  <si>
    <t>Der/die Berater/in wendet nicht die richtige Verkaufstechnik an.</t>
  </si>
  <si>
    <t>vollständig</t>
  </si>
  <si>
    <t>Upselling</t>
  </si>
  <si>
    <t>VERKAUFSTECHNIK</t>
  </si>
  <si>
    <t>Verabschiedung fehlt oder enspricht nicht dem Standard.</t>
  </si>
  <si>
    <t>erfüllte</t>
  </si>
  <si>
    <t xml:space="preserve">Der/die Berater/in verabschiedet sich höfliche und gem. Standard: `Ich danke Ihnen für Ihre Bestellung und wünsche Ihnen einen schönen Tag im Namen von Atlas For Men, Auf Wiedersehen Herr/Frau XXX``. </t>
  </si>
  <si>
    <t xml:space="preserve">nicht erfüllt </t>
  </si>
  <si>
    <t>Der/die Berater/in bestätigt keines der oben genannten Elemente.</t>
  </si>
  <si>
    <t>Der/die Berater/in vergisst, einen der oben genannten Punkte zu erwähnen.</t>
  </si>
  <si>
    <t>Beendigung des Kundenkontaktes</t>
  </si>
  <si>
    <t xml:space="preserve">nicht konform </t>
  </si>
  <si>
    <t>konform</t>
  </si>
  <si>
    <t>Einhalten der Zeiten in der Warteschleife</t>
  </si>
  <si>
    <t xml:space="preserve">Der/die Berater/in verhält sich nicht inkorrekt, aber das Gesprächsklima ist nicht angenehm. </t>
  </si>
  <si>
    <t xml:space="preserve">An einem oder mehreren Elemente (Lächeln, Einfühlungsvermögen, Dynamik, Sprache, Formulierung) muss noch gearbeitet werden.   </t>
  </si>
  <si>
    <t>+Der Umgangston ist herzlich und respektvoll. Ein Lächeln, Einfühlungsvermögen und Dynamik sind vorhanden.
'+Der/die Berater/in verwendet ein professionelles Sprachregister und positive Formulierungen.</t>
  </si>
  <si>
    <t>Klima des Gesprächs</t>
  </si>
  <si>
    <t>SI: Der/die Berater/in verhält sich während der Begrüßung offensichtlich unkorrekt dem Kunden gegenüber.</t>
  </si>
  <si>
    <t>Die Begrüßung ist nicht korrekt, ist aber noch keine SI</t>
  </si>
  <si>
    <t>Die Begüßung entspricht nicht dem Standard: Fehlen eines Elements der Vorstellung oder der Begrüßung / Falscher Gesprächsbeginn</t>
  </si>
  <si>
    <t>Punkteschlüssel OUT</t>
  </si>
  <si>
    <t>Punkteschlüssel AFM</t>
  </si>
  <si>
    <t>KUNDENBEZIEHUNG</t>
  </si>
  <si>
    <t xml:space="preserve">Bewertungs- und Qualitätskriterien </t>
  </si>
  <si>
    <t>TABELLE AFM " TELEFONISCHE BESTELLUNGEN"</t>
  </si>
  <si>
    <t>Kundenberatung</t>
  </si>
  <si>
    <t xml:space="preserve">Die Begrüßung ist standardisiert (Atlas for Men):" Ihr Vorname, guten Tag, nennen Sie mir bitte Ihre Kundennummer) klar und verständlich.
</t>
  </si>
  <si>
    <t xml:space="preserve">Wenn der Vorteilscode es zulässt, schlägt der Berater nach Ablehnung des 1. Artikels einen 2. Artikel vor. Der Artikel muss dem jeweiligen Kontext angepasst werden, das Upselling ist verpflichtend. </t>
  </si>
  <si>
    <t xml:space="preserve">Der/die Berater/in identifiziert und analysiert die Ablehnung und begenet dieser mit geeigneten Techniken. </t>
  </si>
  <si>
    <t>Der/die Berater/in muss daran arbeiten einer Ablehnung mit den richtigen Techniken zu begegnen.</t>
  </si>
  <si>
    <t>Der/die Berater/in beherrscht die Techniken mit einer Ablehnung umzugehen nicht.</t>
  </si>
  <si>
    <t>Vor der Bestellung</t>
  </si>
  <si>
    <t>Bei der Bestellung</t>
  </si>
  <si>
    <t xml:space="preserve">Der/die Berater/in versäumt es, die Bezeichnung oder die Verfügbarkeit oder den Preis zu nennen. </t>
  </si>
  <si>
    <t xml:space="preserve"> Der/die Berater/in kann in SUSI alle Informationen lesen, suchen und Aktionen ausführen, die für die Aufnahme einer Bestellung erforderlich sind.</t>
  </si>
  <si>
    <t>Der/die Berater/in zeigt, dass er/sie zuhört, indem er/sie den Kunden ausreden lässt, das Wort nicht abschneidet, zustimmt (``Genau, ja, gerne...``)</t>
  </si>
  <si>
    <t xml:space="preserve">Der/die Berater/in führt eine kontextbezogene Beratung in einem professionellen Klima durch.  Der/die Berater/in beruhigt den Kunden, wenn es nötig ist. Er/sie begleitet den Kunden Schritt für Schritt und zögert nicht, dessen Antworten zu reformulieren, wenn dies nötig ist.Der Kunde soll das Gefühl haben, dass man sich seiner und seines Anliegens vollständig annimmt. </t>
  </si>
  <si>
    <t>Der/die Berater/in muss am Umgang mit dem Kunden arbeiten, damit sich der Kunde bestmöglich beraten fühlt.</t>
  </si>
  <si>
    <t xml:space="preserve">Der/die Berater/in berät/"begleitet" den Kunden nicht richtig. Er beruhigt ihn nicht. Die Atmosphäre des Anrufs ist nicht angemessen. </t>
  </si>
  <si>
    <t>SI: Der/die Berater/in verhält sich bei der Begrüßung offensichtlich inkorrekt dem Kunden gegenüber.</t>
  </si>
  <si>
    <t>Nutzung  von Arbeitsmitteln / Umgang mit Tools</t>
  </si>
  <si>
    <t>DSP</t>
  </si>
  <si>
    <t>Le conseiller omet de faire la personnalisation sur l'un des items : identificatio, VA, conclusion du contact ou pris de congés</t>
  </si>
  <si>
    <t>Le conseiller demande au client son identité et son adresse complète.
Le conseiller compléte la fiche client quand cela est nécessaire (numéro portable ou fixe si pas portable, date de naissance, adresse mail)
Le conseiller demande l'accord du client pour la réception par mail des offres AFM et de nos partenaires si optin "int" et "ext" non cochés</t>
  </si>
  <si>
    <t>Le conseiller fait l'identification des coordonnées à la place du client
Le conseiller complète en partie les informations de la fiche client (mail ou tél portable ou date de naissance)
Le conseiller ne confirme pas au moins un de ces éléments/ Opt'ins : demander l'accord au client pour la réception par mail des offres AFM et/ou de nos partenaires quand cela est nécessaire</t>
  </si>
  <si>
    <t>SI: Le conseiller ne compléte du tout la fiche client alors que cela est nécessaire
Le conseiller ne fait aucune demande d'identification au client</t>
  </si>
  <si>
    <t>Der/die Berater/in fragt den Kunden nach seiner Identität und nach seiner kompletten Adresse. Bei Anruf von 3. Personen wird zusätzlich nach dem Geburtsdatum gefragt.
Der/die Beraterin vervollständigt das Kundenkonto und trägt die notwendigen Informationen ein (Handynr. oder Festnetznr. Geburtsdatum, Email)
Wenn Optin "int" und "ext" nicht angekreuzt sind, bittet der/die Berater/in um Erlaubnis des Kunden, von AFM und unseren Partnern per Email Angebote zu erhalten.</t>
  </si>
  <si>
    <t>Der/die Berater/in tätigt die Identifizierung anstelle des Kunden.
Der/die Berater/in vervollständigt nicht alle erforderlichen Felder (Handy-Nr, Email, Geburtsdatum) oder aktualisiert nur teilweise das Kundenkonto
Der/die Berater/in bestätigt nicht mindestens eines der folgenden Elemente/Optins : bittet bei Bedarf um Erlaubnis des Kunden, von AFM und/oder von unseren Partnern Angebote per Email zu erhalten</t>
  </si>
  <si>
    <t>SI: Der/die Berater/in fragt den Kunden nicht nach seiner Identität und nach seiner kompletten Adresse.
Der/die Berater/in vervollständigt oder aktualisiert nicht das Kundenkonto.</t>
  </si>
  <si>
    <t>SI: Der/die Berater/in ist während des gesamten Anrufs offensichtlich nicht korrekt gegenüber dem Kunden.</t>
  </si>
  <si>
    <t>Der/die Berater/in nennt deutlich den Zweck für die Warteschleife/Weiterleitung und nimmt den Anruf wieder auf, bedankt sich für die Geduld, die Wartezeit von 1 m 30 s  ohne Wiederaufnahme des Gesprächs wird dabei nicht überschritten</t>
  </si>
  <si>
    <t>Der/die Berater/in vergisst, den Grund für die Warteschleife zu nennen oder bedankt sich nicht, wenn der Anruf wieder aufgenommen wird.</t>
  </si>
  <si>
    <t>SI:Der Kunde wird unterbrochen, der/die Berater/in hält ihn dauerhaft oder grundlos in der Warteschleife oder die Dauer in der Warteschleife 3 m ohne Wiederaufnahme überschreitet.</t>
  </si>
  <si>
    <t>SI: Die Beraterin/Der Berater ist bei der Verabschiedung offensichtlich inkorrekt gegenüber dem Kunden oder die Verabschiedung fehlt ganz.</t>
  </si>
  <si>
    <t>Der/die Berater/in personalisiert den Kontakt mit dem Namen des Kunden mindestens 1 mal (2-3 mal wären wünschenswert) während des gesamten Anrufs (Ermittlung seines Anliegens/Reformulierung oder Upselling/Verabschiedung).</t>
  </si>
  <si>
    <t>Im Gespräch fehlt es an persönlicher Ansprache</t>
  </si>
  <si>
    <t xml:space="preserve"> Der/die Berater/in fragt den Kunden nach dem Vorteilscode. Wenn der Kunde den Code nicht hat, stellt er/sie relevante Fragen, um den Vorteilscode anzupassen.</t>
  </si>
  <si>
    <t>SI: Der/die Berater/in ist offensichtlich nicht korrekt gegenüber dem Kunden.</t>
  </si>
  <si>
    <t>SI:Der Kunde wird unterbrochen, der/die Berater/in hält den Kunden grundlos in der Warteschleife oder die Dauer in der Warteschleife überschreitet 3 Minuten ohne Wiederaufnahme.</t>
  </si>
  <si>
    <t>SI: Die Beraterin/der Berater ist bei der Verabschiedung offensichtlich inkorrekt gegenüber dem Kunden oder die Verabschiedung fehlt ganz.</t>
  </si>
  <si>
    <t xml:space="preserve">SI:  Der/die Berater/in gibt eine falsche Bearbeitungsdauer oder keine Dauer an, obwohl die Informationen auf seiner/ihrer Ebene zugänglich sind. </t>
  </si>
  <si>
    <t>Note aus 100</t>
  </si>
  <si>
    <r>
      <t xml:space="preserve">Der/die Berater/in bestätigt den Gesamtbetrag der Bestellung einschließlich der Versandkosten, die Lieferzeit je nach gewählter Versandart sowie das mitgelieferte Geschenk. Desweiteren wird um Angabe der Referenznummer bei der Überweisung gebeten. </t>
    </r>
    <r>
      <rPr>
        <sz val="12"/>
        <color theme="0" tint="-0.34998626667073579"/>
        <rFont val="Century Gothic"/>
        <family val="2"/>
      </rPr>
      <t xml:space="preserve">Nur FR: Vorschlag für die Lieferung mit Monial Relais  </t>
    </r>
  </si>
  <si>
    <t xml:space="preserve">Le conseiller désactive l'enregistrement lors de la prise des coordonnées bancaires mais ne prévient pas le client </t>
  </si>
  <si>
    <t xml:space="preserve">Le conseiller ne désactive pas  l'enregistrement lors de la prise des coordonnées bancaires et ne prévient pas le client </t>
  </si>
  <si>
    <t>KONECTA</t>
  </si>
  <si>
    <t>KONECTA SA</t>
  </si>
  <si>
    <t>Le conseiller collecte les références, les tailles des articles que le client souhaite commander et lui indique la désignation, la disponibilité et le prix de chaque article. Il demande le mode de paiement et le mode de livraison</t>
  </si>
  <si>
    <t>Le conseiller omet de répéter la désignation ou la disponibilité ou le prix ou omet de demander le mode de paiement et le mode de livraison</t>
  </si>
  <si>
    <t>Le conseiller n'indique pas au client si l'article est indisponible, manque de répéter l'article et son prix et/ ou omet de demander le mode de paiement et le mode de livraison</t>
  </si>
  <si>
    <t>OUTSOURCIA CASA</t>
  </si>
  <si>
    <t>OCEANCALL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</si>
</sst>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C]mmm\-yy;@"/>
  </numFmts>
  <fonts count="22" x14ac:knownFonts="1">
    <font>
      <sz val="11"/>
      <color theme="1"/>
      <name val="Calibri"/>
      <family val="2"/>
      <scheme val="minor"/>
    </font>
    <font>
      <b/>
      <sz val="11"/>
      <color theme="1"/>
      <name val="Calibri"/>
      <family val="2"/>
      <scheme val="minor"/>
    </font>
    <font>
      <b/>
      <sz val="11"/>
      <color rgb="FFFF0000"/>
      <name val="Calibri"/>
      <family val="2"/>
      <scheme val="minor"/>
    </font>
    <font>
      <b/>
      <sz val="14"/>
      <color theme="1"/>
      <name val="Calibri"/>
      <family val="2"/>
      <scheme val="minor"/>
    </font>
    <font>
      <sz val="11"/>
      <name val="Calibri"/>
      <family val="2"/>
      <scheme val="minor"/>
    </font>
    <font>
      <b/>
      <sz val="11"/>
      <name val="Calibri"/>
      <family val="2"/>
      <scheme val="minor"/>
    </font>
    <font>
      <b/>
      <u/>
      <sz val="18"/>
      <color theme="0" tint="-0.34998626667073579"/>
      <name val="Calibri"/>
      <family val="2"/>
      <scheme val="minor"/>
    </font>
    <font>
      <b/>
      <sz val="12"/>
      <color rgb="FFFFFFFF"/>
      <name val="Century Gothic"/>
      <family val="2"/>
    </font>
    <font>
      <b/>
      <sz val="12"/>
      <color theme="0"/>
      <name val="Century Gothic"/>
      <family val="2"/>
    </font>
    <font>
      <sz val="12"/>
      <color rgb="FF595959"/>
      <name val="Century Gothic"/>
      <family val="2"/>
    </font>
    <font>
      <b/>
      <sz val="12"/>
      <color rgb="FFFF0000"/>
      <name val="Century Gothic"/>
      <family val="2"/>
    </font>
    <font>
      <sz val="12"/>
      <color theme="1" tint="0.34998626667073579"/>
      <name val="Century Gothic"/>
      <family val="2"/>
    </font>
    <font>
      <b/>
      <sz val="12"/>
      <name val="Century Gothic"/>
      <family val="2"/>
    </font>
    <font>
      <b/>
      <sz val="12"/>
      <color theme="1"/>
      <name val="Century Gothic"/>
      <family val="2"/>
    </font>
    <font>
      <b/>
      <sz val="11"/>
      <color rgb="FFFF0000"/>
      <name val="Century Gothic"/>
      <family val="2"/>
    </font>
    <font>
      <sz val="11"/>
      <color theme="1"/>
      <name val="Century Gothic"/>
      <family val="2"/>
    </font>
    <font>
      <sz val="12"/>
      <name val="Century Gothic"/>
      <family val="2"/>
    </font>
    <font>
      <sz val="11"/>
      <color theme="1" tint="0.34998626667073579"/>
      <name val="Century Gothic"/>
      <family val="2"/>
    </font>
    <font>
      <b/>
      <sz val="11"/>
      <color theme="1"/>
      <name val="Century Gothic"/>
      <family val="2"/>
    </font>
    <font>
      <b/>
      <sz val="11"/>
      <name val="Century Gothic"/>
      <family val="2"/>
    </font>
    <font>
      <sz val="12"/>
      <color theme="0" tint="-0.34998626667073579"/>
      <name val="Century Gothic"/>
      <family val="2"/>
    </font>
    <font>
      <sz val="11"/>
      <color theme="1"/>
      <name val="Calibri"/>
      <family val="2"/>
    </font>
  </fonts>
  <fills count="11">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ED4E00"/>
        <bgColor indexed="64"/>
      </patternFill>
    </fill>
    <fill>
      <patternFill patternType="solid">
        <fgColor theme="1" tint="0.499984740745262"/>
        <bgColor indexed="64"/>
      </patternFill>
    </fill>
    <fill>
      <patternFill patternType="solid">
        <fgColor rgb="FF00B050"/>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69">
    <border>
      <left/>
      <right/>
      <top/>
      <bottom/>
      <diagonal/>
    </border>
    <border>
      <left style="thin">
        <color indexed="64"/>
      </left>
      <right style="thin">
        <color indexed="64"/>
      </right>
      <top style="thin">
        <color indexed="64"/>
      </top>
      <bottom style="thin">
        <color indexed="64"/>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style="medium">
        <color auto="1"/>
      </right>
      <top style="medium">
        <color auto="1"/>
      </top>
      <bottom style="medium">
        <color auto="1"/>
      </bottom>
      <diagonal/>
    </border>
    <border>
      <left/>
      <right/>
      <top style="medium">
        <color auto="1"/>
      </top>
      <bottom/>
      <diagonal/>
    </border>
    <border>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auto="1"/>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medium">
        <color auto="1"/>
      </top>
      <bottom/>
      <diagonal/>
    </border>
    <border>
      <left style="thin">
        <color auto="1"/>
      </left>
      <right/>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style="medium">
        <color auto="1"/>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top style="medium">
        <color rgb="FFFFFFFF"/>
      </top>
      <bottom/>
      <diagonal/>
    </border>
    <border>
      <left/>
      <right style="medium">
        <color theme="0"/>
      </right>
      <top style="medium">
        <color rgb="FFFFFFFF"/>
      </top>
      <bottom/>
      <diagonal/>
    </border>
    <border>
      <left style="medium">
        <color theme="0"/>
      </left>
      <right style="medium">
        <color theme="0"/>
      </right>
      <top style="medium">
        <color theme="0"/>
      </top>
      <bottom style="medium">
        <color theme="0"/>
      </bottom>
      <diagonal/>
    </border>
    <border>
      <left/>
      <right style="medium">
        <color theme="0"/>
      </right>
      <top/>
      <bottom/>
      <diagonal/>
    </border>
    <border>
      <left/>
      <right/>
      <top/>
      <bottom style="medium">
        <color rgb="FFFFFFFF"/>
      </bottom>
      <diagonal/>
    </border>
    <border>
      <left style="medium">
        <color rgb="FFFFFFFF"/>
      </left>
      <right/>
      <top style="medium">
        <color rgb="FFFFFFFF"/>
      </top>
      <bottom/>
      <diagonal/>
    </border>
    <border>
      <left style="medium">
        <color rgb="FFFFFFFF"/>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style="thin">
        <color auto="1"/>
      </bottom>
      <diagonal/>
    </border>
    <border>
      <left/>
      <right style="medium">
        <color theme="0"/>
      </right>
      <top/>
      <bottom style="medium">
        <color rgb="FFFFFFFF"/>
      </bottom>
      <diagonal/>
    </border>
    <border>
      <left style="medium">
        <color rgb="FFFFFFFF"/>
      </left>
      <right/>
      <top/>
      <bottom style="medium">
        <color rgb="FFFFFFFF"/>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49">
    <xf numFmtId="0" fontId="0" fillId="0" borderId="0" xfId="0"/>
    <xf numFmtId="0" fontId="0" fillId="0" borderId="0" xfId="0" applyFill="1"/>
    <xf numFmtId="0" fontId="0" fillId="0" borderId="0" xfId="0" applyBorder="1" applyAlignment="1">
      <alignment vertical="center"/>
    </xf>
    <xf numFmtId="0" fontId="0" fillId="0" borderId="0" xfId="0" applyBorder="1" applyAlignment="1">
      <alignment horizontal="center" vertical="center"/>
    </xf>
    <xf numFmtId="0" fontId="0" fillId="0" borderId="0" xfId="0" applyAlignment="1">
      <alignment vertical="center"/>
    </xf>
    <xf numFmtId="0" fontId="0" fillId="0" borderId="0" xfId="0" applyAlignment="1">
      <alignment horizontal="center" vertical="center"/>
    </xf>
    <xf numFmtId="0" fontId="0" fillId="0" borderId="5" xfId="0" applyBorder="1" applyAlignment="1">
      <alignment horizontal="center" vertical="center"/>
    </xf>
    <xf numFmtId="14" fontId="0" fillId="0" borderId="5" xfId="0" applyNumberFormat="1" applyBorder="1" applyAlignment="1">
      <alignment horizontal="center" vertical="center"/>
    </xf>
    <xf numFmtId="0" fontId="0" fillId="0" borderId="0" xfId="0" applyAlignment="1">
      <alignment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9" fontId="1" fillId="0" borderId="5" xfId="0" applyNumberFormat="1" applyFont="1" applyBorder="1" applyAlignment="1">
      <alignment horizontal="center" vertical="center" wrapText="1"/>
    </xf>
    <xf numFmtId="14" fontId="1" fillId="0" borderId="7" xfId="0" applyNumberFormat="1" applyFont="1" applyBorder="1" applyAlignment="1">
      <alignment horizontal="center" vertical="center" wrapText="1"/>
    </xf>
    <xf numFmtId="0" fontId="0" fillId="0" borderId="2" xfId="0" applyBorder="1"/>
    <xf numFmtId="0" fontId="0" fillId="0" borderId="4" xfId="0" applyBorder="1"/>
    <xf numFmtId="0" fontId="0" fillId="0" borderId="0" xfId="0" applyFill="1" applyBorder="1" applyAlignment="1">
      <alignment horizontal="right"/>
    </xf>
    <xf numFmtId="0" fontId="0" fillId="0" borderId="9" xfId="0" applyBorder="1" applyAlignment="1">
      <alignment horizontal="right"/>
    </xf>
    <xf numFmtId="0" fontId="0" fillId="0" borderId="9" xfId="0" applyBorder="1"/>
    <xf numFmtId="0" fontId="0" fillId="0" borderId="0" xfId="0" applyBorder="1"/>
    <xf numFmtId="0" fontId="0" fillId="0" borderId="10" xfId="0" applyFill="1" applyBorder="1" applyAlignment="1">
      <alignment horizontal="right"/>
    </xf>
    <xf numFmtId="0" fontId="0" fillId="0" borderId="10" xfId="0" applyBorder="1"/>
    <xf numFmtId="0" fontId="0" fillId="0" borderId="9" xfId="0" quotePrefix="1" applyBorder="1"/>
    <xf numFmtId="0" fontId="0" fillId="0" borderId="0" xfId="0" quotePrefix="1" applyBorder="1"/>
    <xf numFmtId="0" fontId="0" fillId="0" borderId="10" xfId="0" quotePrefix="1" applyBorder="1"/>
    <xf numFmtId="0" fontId="0" fillId="0" borderId="0" xfId="0" applyAlignment="1">
      <alignment horizontal="center" vertical="center" wrapText="1"/>
    </xf>
    <xf numFmtId="0" fontId="0" fillId="0" borderId="9" xfId="0" applyBorder="1" applyAlignment="1">
      <alignment vertical="center"/>
    </xf>
    <xf numFmtId="0" fontId="0" fillId="0" borderId="10" xfId="0" applyBorder="1" applyAlignment="1">
      <alignment vertical="center"/>
    </xf>
    <xf numFmtId="0" fontId="0" fillId="0" borderId="6" xfId="0" applyBorder="1"/>
    <xf numFmtId="9" fontId="0" fillId="0" borderId="3" xfId="0" applyNumberFormat="1"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20" xfId="0" applyBorder="1" applyAlignment="1">
      <alignment horizontal="center" vertical="center" wrapText="1"/>
    </xf>
    <xf numFmtId="0" fontId="0" fillId="0" borderId="9" xfId="0" applyBorder="1" applyAlignment="1">
      <alignment horizontal="center" vertical="center"/>
    </xf>
    <xf numFmtId="0" fontId="0" fillId="0" borderId="10" xfId="0" applyBorder="1" applyAlignment="1">
      <alignment horizontal="center" vertical="center"/>
    </xf>
    <xf numFmtId="0" fontId="2" fillId="0" borderId="13" xfId="0" applyFont="1" applyBorder="1" applyAlignment="1">
      <alignment horizontal="center" vertical="center"/>
    </xf>
    <xf numFmtId="0" fontId="1" fillId="0" borderId="15" xfId="0" applyFont="1" applyBorder="1" applyAlignment="1">
      <alignment horizontal="center" vertical="center"/>
    </xf>
    <xf numFmtId="0" fontId="0" fillId="0" borderId="16" xfId="0" applyBorder="1" applyAlignment="1">
      <alignment horizontal="center" vertical="center"/>
    </xf>
    <xf numFmtId="0" fontId="2" fillId="0" borderId="16" xfId="0" applyFont="1" applyBorder="1" applyAlignment="1">
      <alignment horizontal="center" vertical="center"/>
    </xf>
    <xf numFmtId="0" fontId="0" fillId="0" borderId="1" xfId="0" applyBorder="1" applyAlignment="1">
      <alignment horizontal="center" vertical="center"/>
    </xf>
    <xf numFmtId="0" fontId="1" fillId="0" borderId="33" xfId="0" applyFont="1" applyBorder="1" applyAlignment="1">
      <alignment horizontal="center" vertical="center"/>
    </xf>
    <xf numFmtId="0" fontId="1" fillId="0" borderId="34" xfId="0" applyFont="1" applyFill="1" applyBorder="1" applyAlignment="1">
      <alignment horizontal="center" vertical="center"/>
    </xf>
    <xf numFmtId="0" fontId="0" fillId="0" borderId="11" xfId="0" applyFill="1" applyBorder="1" applyAlignment="1">
      <alignment horizontal="center" vertical="center"/>
    </xf>
    <xf numFmtId="0" fontId="0" fillId="0" borderId="13" xfId="0" applyBorder="1" applyAlignment="1">
      <alignment horizontal="center" vertical="center"/>
    </xf>
    <xf numFmtId="0" fontId="2" fillId="0" borderId="21" xfId="0" applyFont="1" applyBorder="1" applyAlignment="1">
      <alignment horizontal="center" vertical="center"/>
    </xf>
    <xf numFmtId="0" fontId="0" fillId="0" borderId="35" xfId="0" applyFont="1" applyFill="1" applyBorder="1" applyAlignment="1">
      <alignment horizontal="center" vertical="center"/>
    </xf>
    <xf numFmtId="0" fontId="0" fillId="0" borderId="3" xfId="0" applyFont="1" applyBorder="1" applyAlignment="1">
      <alignment horizontal="center" vertical="center" wrapText="1"/>
    </xf>
    <xf numFmtId="14" fontId="1" fillId="0" borderId="0" xfId="0" applyNumberFormat="1" applyFont="1" applyBorder="1" applyAlignment="1">
      <alignment horizontal="center" vertical="center" wrapText="1"/>
    </xf>
    <xf numFmtId="0" fontId="0" fillId="0" borderId="11" xfId="0" applyBorder="1" applyAlignment="1">
      <alignment horizontal="center" vertical="center" wrapText="1"/>
    </xf>
    <xf numFmtId="0" fontId="0" fillId="0" borderId="36" xfId="0" applyBorder="1" applyAlignment="1">
      <alignment horizontal="center" vertical="center" wrapText="1"/>
    </xf>
    <xf numFmtId="0" fontId="2" fillId="0" borderId="1" xfId="0" applyFont="1" applyBorder="1" applyAlignment="1">
      <alignment horizontal="center" vertical="center"/>
    </xf>
    <xf numFmtId="0" fontId="2" fillId="0" borderId="40" xfId="0" applyFont="1" applyBorder="1" applyAlignment="1">
      <alignment horizontal="center" vertical="center"/>
    </xf>
    <xf numFmtId="0" fontId="2" fillId="0" borderId="39" xfId="0" applyFont="1" applyBorder="1" applyAlignment="1">
      <alignment horizontal="center" vertical="center"/>
    </xf>
    <xf numFmtId="0" fontId="0" fillId="0" borderId="17" xfId="0" applyBorder="1" applyAlignment="1">
      <alignment horizontal="center" vertical="center"/>
    </xf>
    <xf numFmtId="0" fontId="3" fillId="0" borderId="0" xfId="0" applyFont="1"/>
    <xf numFmtId="0" fontId="3" fillId="0" borderId="0" xfId="0" applyFont="1" applyAlignment="1">
      <alignment horizontal="right"/>
    </xf>
    <xf numFmtId="0" fontId="0" fillId="0" borderId="0" xfId="0" applyAlignment="1">
      <alignment horizontal="left" wrapText="1"/>
    </xf>
    <xf numFmtId="0" fontId="0" fillId="0" borderId="0" xfId="0" applyAlignment="1">
      <alignment horizontal="left"/>
    </xf>
    <xf numFmtId="0" fontId="3" fillId="0" borderId="0" xfId="0" applyFont="1" applyAlignment="1">
      <alignment horizontal="center" vertical="center"/>
    </xf>
    <xf numFmtId="0" fontId="0" fillId="0" borderId="29" xfId="0" applyBorder="1" applyAlignment="1">
      <alignment horizontal="center" vertical="center" wrapText="1"/>
    </xf>
    <xf numFmtId="0" fontId="0" fillId="0" borderId="24" xfId="0" applyBorder="1" applyAlignment="1">
      <alignment horizontal="center" vertical="center" wrapText="1"/>
    </xf>
    <xf numFmtId="0" fontId="0" fillId="0" borderId="43" xfId="0" applyBorder="1"/>
    <xf numFmtId="0" fontId="0" fillId="0" borderId="46" xfId="0" applyBorder="1"/>
    <xf numFmtId="164" fontId="1" fillId="0" borderId="5" xfId="0" applyNumberFormat="1" applyFont="1" applyBorder="1" applyAlignment="1">
      <alignment horizontal="center" vertical="center" wrapText="1"/>
    </xf>
    <xf numFmtId="0" fontId="4" fillId="0" borderId="4" xfId="0" applyFont="1" applyBorder="1"/>
    <xf numFmtId="0" fontId="4" fillId="0" borderId="0" xfId="0" applyFont="1" applyBorder="1"/>
    <xf numFmtId="0" fontId="4" fillId="0" borderId="0" xfId="0" applyFont="1" applyBorder="1" applyAlignment="1">
      <alignment vertical="center"/>
    </xf>
    <xf numFmtId="0" fontId="0" fillId="0" borderId="0" xfId="0" applyFont="1" applyBorder="1"/>
    <xf numFmtId="0" fontId="4" fillId="0" borderId="0" xfId="0" applyFont="1" applyBorder="1" applyAlignment="1">
      <alignment horizontal="center" vertical="center"/>
    </xf>
    <xf numFmtId="0" fontId="4" fillId="0" borderId="0" xfId="0" applyFont="1" applyBorder="1" applyAlignment="1">
      <alignment horizontal="right"/>
    </xf>
    <xf numFmtId="0" fontId="4" fillId="0" borderId="0" xfId="0" quotePrefix="1" applyFont="1" applyBorder="1"/>
    <xf numFmtId="0" fontId="5" fillId="0" borderId="16" xfId="0" applyFont="1" applyBorder="1" applyAlignment="1">
      <alignment horizontal="center" vertical="center"/>
    </xf>
    <xf numFmtId="0" fontId="5" fillId="0" borderId="1" xfId="0" applyFont="1" applyBorder="1" applyAlignment="1">
      <alignment horizontal="center" vertical="center"/>
    </xf>
    <xf numFmtId="0" fontId="5" fillId="0" borderId="9" xfId="0" applyFont="1" applyBorder="1" applyAlignment="1">
      <alignment horizontal="right"/>
    </xf>
    <xf numFmtId="0" fontId="5" fillId="0" borderId="0" xfId="0" applyFont="1" applyBorder="1" applyAlignment="1">
      <alignment horizontal="right"/>
    </xf>
    <xf numFmtId="0" fontId="5" fillId="0" borderId="10" xfId="0" applyFont="1" applyBorder="1" applyAlignment="1">
      <alignment horizontal="right"/>
    </xf>
    <xf numFmtId="0" fontId="5" fillId="0" borderId="5" xfId="0" applyFont="1" applyBorder="1" applyAlignment="1">
      <alignment horizontal="center" vertical="center"/>
    </xf>
    <xf numFmtId="0" fontId="0" fillId="0" borderId="5" xfId="0" applyBorder="1" applyAlignment="1">
      <alignment horizontal="center" vertical="center" wrapText="1"/>
    </xf>
    <xf numFmtId="0" fontId="0" fillId="0" borderId="32" xfId="0" applyBorder="1" applyAlignment="1">
      <alignment horizontal="center" vertical="center" wrapText="1"/>
    </xf>
    <xf numFmtId="0" fontId="0" fillId="0" borderId="4" xfId="0" applyBorder="1" applyAlignment="1">
      <alignment horizontal="left" vertical="top" wrapText="1"/>
    </xf>
    <xf numFmtId="0" fontId="0" fillId="0" borderId="1" xfId="0" applyBorder="1" applyAlignment="1">
      <alignment horizontal="center" vertical="center" wrapText="1"/>
    </xf>
    <xf numFmtId="0" fontId="2" fillId="0" borderId="12" xfId="0" applyFont="1" applyBorder="1" applyAlignment="1">
      <alignment horizontal="center" vertical="center"/>
    </xf>
    <xf numFmtId="0" fontId="0" fillId="2" borderId="18" xfId="0" applyFill="1" applyBorder="1" applyAlignment="1">
      <alignment horizontal="center" vertical="center" wrapText="1"/>
    </xf>
    <xf numFmtId="0" fontId="0" fillId="2" borderId="16" xfId="0" applyFill="1" applyBorder="1" applyAlignment="1">
      <alignment horizontal="center" vertical="center"/>
    </xf>
    <xf numFmtId="0" fontId="0" fillId="2" borderId="1" xfId="0" applyFill="1" applyBorder="1" applyAlignment="1">
      <alignment horizontal="center" vertical="center"/>
    </xf>
    <xf numFmtId="0" fontId="0" fillId="3" borderId="18" xfId="0" applyFill="1" applyBorder="1" applyAlignment="1">
      <alignment horizontal="center" vertical="center" wrapText="1"/>
    </xf>
    <xf numFmtId="0" fontId="0" fillId="3" borderId="16" xfId="0" applyFill="1" applyBorder="1" applyAlignment="1">
      <alignment horizontal="center" vertical="center"/>
    </xf>
    <xf numFmtId="0" fontId="0" fillId="3" borderId="1" xfId="0" applyFill="1" applyBorder="1" applyAlignment="1">
      <alignment horizontal="center" vertical="center"/>
    </xf>
    <xf numFmtId="0" fontId="6" fillId="0" borderId="0" xfId="0" applyFont="1" applyAlignment="1">
      <alignment horizontal="center"/>
    </xf>
    <xf numFmtId="164" fontId="7" fillId="0" borderId="0" xfId="0" applyNumberFormat="1" applyFont="1" applyAlignment="1">
      <alignment horizontal="left" vertical="center" wrapText="1" readingOrder="1"/>
    </xf>
    <xf numFmtId="0" fontId="8" fillId="5" borderId="0" xfId="0" applyFont="1" applyFill="1" applyAlignment="1">
      <alignment vertical="center"/>
    </xf>
    <xf numFmtId="0" fontId="8" fillId="5" borderId="0" xfId="0" applyFont="1" applyFill="1"/>
    <xf numFmtId="0" fontId="8" fillId="5" borderId="0" xfId="0" applyFont="1" applyFill="1" applyAlignment="1">
      <alignment horizontal="center" vertical="center"/>
    </xf>
    <xf numFmtId="0" fontId="8" fillId="5" borderId="0" xfId="0" applyFont="1" applyFill="1" applyAlignment="1">
      <alignment horizontal="center" vertical="center" wrapText="1"/>
    </xf>
    <xf numFmtId="0" fontId="11" fillId="6" borderId="53" xfId="0" applyFont="1" applyFill="1" applyBorder="1" applyAlignment="1">
      <alignment horizontal="center" vertical="center" wrapText="1"/>
    </xf>
    <xf numFmtId="0" fontId="11" fillId="7" borderId="53" xfId="0" applyFont="1" applyFill="1" applyBorder="1" applyAlignment="1">
      <alignment horizontal="center" vertical="center" wrapText="1"/>
    </xf>
    <xf numFmtId="0" fontId="11" fillId="8" borderId="53" xfId="0" applyFont="1" applyFill="1" applyBorder="1" applyAlignment="1">
      <alignment horizontal="center" vertical="center" wrapText="1"/>
    </xf>
    <xf numFmtId="0" fontId="13" fillId="9" borderId="53" xfId="0" applyFont="1" applyFill="1" applyBorder="1" applyAlignment="1">
      <alignment horizontal="center" vertical="center"/>
    </xf>
    <xf numFmtId="0" fontId="14" fillId="0" borderId="0" xfId="0" applyFont="1" applyAlignment="1">
      <alignment horizontal="center"/>
    </xf>
    <xf numFmtId="0" fontId="15" fillId="0" borderId="0" xfId="0" applyFont="1"/>
    <xf numFmtId="0" fontId="15" fillId="0" borderId="0" xfId="0" applyFont="1" applyAlignment="1">
      <alignment horizontal="center" vertical="center"/>
    </xf>
    <xf numFmtId="0" fontId="8" fillId="5" borderId="0" xfId="0" applyFont="1" applyFill="1" applyAlignment="1">
      <alignment horizontal="center"/>
    </xf>
    <xf numFmtId="0" fontId="12" fillId="9" borderId="53" xfId="0" applyFont="1" applyFill="1" applyBorder="1" applyAlignment="1">
      <alignment horizontal="center" vertical="center"/>
    </xf>
    <xf numFmtId="0" fontId="9" fillId="10" borderId="53" xfId="0" applyFont="1" applyFill="1" applyBorder="1" applyAlignment="1">
      <alignment horizontal="center" vertical="center" wrapText="1" readingOrder="1"/>
    </xf>
    <xf numFmtId="164" fontId="7" fillId="3" borderId="0" xfId="0" applyNumberFormat="1" applyFont="1" applyFill="1" applyAlignment="1">
      <alignment horizontal="left" vertical="center" wrapText="1" readingOrder="1"/>
    </xf>
    <xf numFmtId="0" fontId="14" fillId="0" borderId="0" xfId="0" applyFont="1" applyAlignment="1">
      <alignment vertical="center" wrapText="1" readingOrder="1"/>
    </xf>
    <xf numFmtId="0" fontId="16" fillId="0" borderId="0" xfId="0" applyFont="1"/>
    <xf numFmtId="0" fontId="8" fillId="5" borderId="0" xfId="0" applyFont="1" applyFill="1" applyAlignment="1">
      <alignment horizontal="center" wrapText="1"/>
    </xf>
    <xf numFmtId="0" fontId="0" fillId="8" borderId="0" xfId="0" applyFill="1" applyAlignment="1">
      <alignment horizontal="center" vertical="center" wrapText="1"/>
    </xf>
    <xf numFmtId="0" fontId="0" fillId="0" borderId="0" xfId="0" applyAlignment="1">
      <alignment horizontal="center"/>
    </xf>
    <xf numFmtId="0" fontId="0" fillId="3" borderId="36" xfId="0" applyFill="1" applyBorder="1" applyAlignment="1">
      <alignment horizontal="center" vertical="center" wrapText="1"/>
    </xf>
    <xf numFmtId="0" fontId="0" fillId="3" borderId="13" xfId="0" applyFill="1" applyBorder="1" applyAlignment="1">
      <alignment horizontal="center" vertical="center"/>
    </xf>
    <xf numFmtId="0" fontId="2" fillId="3" borderId="21" xfId="0" applyFont="1" applyFill="1" applyBorder="1" applyAlignment="1">
      <alignment horizontal="center" vertical="center"/>
    </xf>
    <xf numFmtId="0" fontId="0" fillId="0" borderId="49" xfId="0" applyBorder="1" applyAlignment="1">
      <alignment vertical="center" wrapText="1"/>
    </xf>
    <xf numFmtId="0" fontId="1" fillId="0" borderId="19" xfId="0" applyFont="1" applyBorder="1" applyAlignment="1">
      <alignment vertical="center" wrapText="1"/>
    </xf>
    <xf numFmtId="0" fontId="1" fillId="2" borderId="60" xfId="0" applyFont="1" applyFill="1" applyBorder="1" applyAlignment="1">
      <alignment vertical="center" wrapText="1"/>
    </xf>
    <xf numFmtId="0" fontId="0" fillId="2" borderId="50" xfId="0" applyFill="1" applyBorder="1" applyAlignment="1">
      <alignment vertical="center" wrapText="1"/>
    </xf>
    <xf numFmtId="0" fontId="8" fillId="5" borderId="0" xfId="0" applyFont="1" applyFill="1"/>
    <xf numFmtId="0" fontId="17" fillId="6" borderId="53" xfId="0" applyFont="1" applyFill="1" applyBorder="1" applyAlignment="1">
      <alignment horizontal="center" vertical="center" wrapText="1"/>
    </xf>
    <xf numFmtId="0" fontId="17" fillId="7" borderId="53" xfId="0" applyFont="1" applyFill="1" applyBorder="1" applyAlignment="1">
      <alignment horizontal="center" vertical="center" wrapText="1"/>
    </xf>
    <xf numFmtId="0" fontId="17" fillId="8" borderId="53" xfId="0" applyFont="1" applyFill="1" applyBorder="1" applyAlignment="1">
      <alignment horizontal="center" vertical="center" wrapText="1"/>
    </xf>
    <xf numFmtId="0" fontId="18" fillId="9" borderId="53" xfId="0" applyFont="1" applyFill="1" applyBorder="1" applyAlignment="1">
      <alignment horizontal="center" vertical="center"/>
    </xf>
    <xf numFmtId="0" fontId="19" fillId="9" borderId="53" xfId="0" applyFont="1" applyFill="1" applyBorder="1" applyAlignment="1">
      <alignment horizontal="center" vertical="center" wrapText="1"/>
    </xf>
    <xf numFmtId="0" fontId="8" fillId="5" borderId="0" xfId="0" applyFont="1" applyFill="1"/>
    <xf numFmtId="0" fontId="12" fillId="9" borderId="53" xfId="0" applyFont="1" applyFill="1" applyBorder="1" applyAlignment="1">
      <alignment horizontal="center" vertical="center" wrapText="1"/>
    </xf>
    <xf numFmtId="0" fontId="21" fillId="0" borderId="63" xfId="0" applyFont="1" applyBorder="1" applyAlignment="1">
      <alignment horizontal="center" vertical="center"/>
    </xf>
    <xf numFmtId="1" fontId="21" fillId="0" borderId="64" xfId="0" applyNumberFormat="1" applyFont="1" applyBorder="1" applyAlignment="1">
      <alignment horizontal="center" vertical="center"/>
    </xf>
    <xf numFmtId="0" fontId="21" fillId="0" borderId="64" xfId="0" applyFont="1" applyBorder="1" applyAlignment="1">
      <alignment horizontal="center" vertical="center"/>
    </xf>
    <xf numFmtId="1" fontId="21" fillId="0" borderId="64" xfId="0" applyNumberFormat="1" applyFont="1" applyBorder="1" applyAlignment="1">
      <alignment horizontal="center" vertical="center" wrapText="1"/>
    </xf>
    <xf numFmtId="20" fontId="21" fillId="0" borderId="65" xfId="0" applyNumberFormat="1" applyFont="1" applyBorder="1" applyAlignment="1">
      <alignment horizontal="center" vertical="center" wrapText="1"/>
    </xf>
    <xf numFmtId="0" fontId="21" fillId="0" borderId="1" xfId="0" applyFont="1" applyBorder="1" applyAlignment="1">
      <alignment horizontal="center" vertical="center"/>
    </xf>
    <xf numFmtId="1" fontId="21" fillId="0" borderId="66" xfId="0" applyNumberFormat="1" applyFont="1" applyBorder="1" applyAlignment="1">
      <alignment horizontal="center" vertical="center"/>
    </xf>
    <xf numFmtId="0" fontId="21" fillId="0" borderId="67" xfId="0" applyFont="1" applyBorder="1" applyAlignment="1">
      <alignment horizontal="center" vertical="center"/>
    </xf>
    <xf numFmtId="1" fontId="21" fillId="0" borderId="67" xfId="0" applyNumberFormat="1" applyFont="1" applyBorder="1" applyAlignment="1">
      <alignment horizontal="center" vertical="center"/>
    </xf>
    <xf numFmtId="20" fontId="21" fillId="0" borderId="65" xfId="0" applyNumberFormat="1" applyFont="1" applyBorder="1" applyAlignment="1">
      <alignment horizontal="center" vertical="center"/>
    </xf>
    <xf numFmtId="0" fontId="21" fillId="0" borderId="68" xfId="0" applyFont="1" applyBorder="1" applyAlignment="1">
      <alignment horizontal="center" vertical="center"/>
    </xf>
    <xf numFmtId="1" fontId="21" fillId="0" borderId="67" xfId="0" applyNumberFormat="1" applyFont="1" applyBorder="1" applyAlignment="1">
      <alignment horizontal="center" vertical="center" wrapText="1"/>
    </xf>
    <xf numFmtId="0" fontId="21" fillId="0" borderId="63" xfId="0" applyFont="1" applyBorder="1" applyAlignment="1">
      <alignment horizontal="center" vertical="center" wrapText="1"/>
    </xf>
    <xf numFmtId="0" fontId="21" fillId="0" borderId="68" xfId="0" applyFont="1" applyBorder="1" applyAlignment="1">
      <alignment horizontal="center" vertical="center" wrapText="1"/>
    </xf>
    <xf numFmtId="0" fontId="21" fillId="0" borderId="1" xfId="0" applyFont="1" applyBorder="1" applyAlignment="1">
      <alignment horizontal="center" vertical="center" wrapText="1"/>
    </xf>
    <xf numFmtId="0" fontId="0" fillId="0" borderId="41" xfId="0" applyBorder="1" applyAlignment="1">
      <alignment horizontal="center" vertical="center" wrapText="1"/>
    </xf>
    <xf numFmtId="0" fontId="0" fillId="0" borderId="42" xfId="0" applyBorder="1" applyAlignment="1">
      <alignment horizontal="center" vertical="center" wrapText="1"/>
    </xf>
    <xf numFmtId="0" fontId="0" fillId="0" borderId="25" xfId="0" applyBorder="1" applyAlignment="1">
      <alignment horizontal="center" vertical="center" wrapText="1"/>
    </xf>
    <xf numFmtId="0" fontId="0" fillId="0" borderId="9" xfId="0" applyBorder="1" applyAlignment="1">
      <alignment horizontal="center" vertical="center" wrapText="1"/>
    </xf>
    <xf numFmtId="0" fontId="0" fillId="0" borderId="3" xfId="0" applyBorder="1" applyAlignment="1">
      <alignment horizontal="center" vertical="center" wrapText="1"/>
    </xf>
    <xf numFmtId="0" fontId="0" fillId="0" borderId="37"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26" xfId="0" applyBorder="1" applyAlignment="1">
      <alignment horizontal="center" vertical="center" wrapText="1"/>
    </xf>
    <xf numFmtId="0" fontId="0" fillId="0" borderId="10" xfId="0" applyBorder="1" applyAlignment="1">
      <alignment horizontal="center" vertical="center" wrapText="1"/>
    </xf>
    <xf numFmtId="0" fontId="0" fillId="0" borderId="7" xfId="0" applyBorder="1" applyAlignment="1">
      <alignment horizontal="center" vertical="center" wrapText="1"/>
    </xf>
    <xf numFmtId="0" fontId="0" fillId="0" borderId="41" xfId="0" applyBorder="1" applyAlignment="1">
      <alignment horizontal="left" vertical="top" wrapText="1"/>
    </xf>
    <xf numFmtId="0" fontId="0" fillId="0" borderId="42" xfId="0" applyBorder="1" applyAlignment="1">
      <alignment horizontal="left" vertical="top" wrapText="1"/>
    </xf>
    <xf numFmtId="0" fontId="0" fillId="0" borderId="43" xfId="0" applyBorder="1" applyAlignment="1">
      <alignment horizontal="left" vertical="top" wrapText="1"/>
    </xf>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30" xfId="0" applyBorder="1" applyAlignment="1">
      <alignment horizontal="left" vertical="center" wrapText="1"/>
    </xf>
    <xf numFmtId="0" fontId="0" fillId="0" borderId="31" xfId="0" applyBorder="1" applyAlignment="1">
      <alignment horizontal="left" vertical="center" wrapText="1"/>
    </xf>
    <xf numFmtId="0" fontId="0" fillId="0" borderId="32" xfId="0" applyBorder="1" applyAlignment="1">
      <alignment horizontal="left" vertical="center" wrapText="1"/>
    </xf>
    <xf numFmtId="0" fontId="1" fillId="0" borderId="58" xfId="0" applyFont="1" applyBorder="1" applyAlignment="1">
      <alignment horizontal="center" vertical="center" wrapText="1"/>
    </xf>
    <xf numFmtId="0" fontId="1" fillId="0" borderId="59" xfId="0" applyFont="1" applyBorder="1" applyAlignment="1">
      <alignment horizontal="center" vertical="center" wrapText="1"/>
    </xf>
    <xf numFmtId="0" fontId="1" fillId="0" borderId="8" xfId="0" applyFont="1" applyBorder="1" applyAlignment="1">
      <alignment horizontal="center" vertical="center" wrapText="1"/>
    </xf>
    <xf numFmtId="0" fontId="0" fillId="0" borderId="50" xfId="0" applyBorder="1" applyAlignment="1">
      <alignment horizontal="center" vertical="center" wrapText="1"/>
    </xf>
    <xf numFmtId="0" fontId="0" fillId="0" borderId="49" xfId="0" applyBorder="1" applyAlignment="1">
      <alignment horizontal="center" vertical="center" wrapText="1"/>
    </xf>
    <xf numFmtId="0" fontId="0" fillId="0" borderId="27" xfId="0" applyBorder="1" applyAlignment="1">
      <alignment horizontal="center" vertical="center" wrapText="1"/>
    </xf>
    <xf numFmtId="0" fontId="0" fillId="0" borderId="19" xfId="0" applyBorder="1" applyAlignment="1">
      <alignment horizontal="center" vertical="center" wrapText="1"/>
    </xf>
    <xf numFmtId="0" fontId="1" fillId="0" borderId="47" xfId="0" applyFont="1" applyBorder="1" applyAlignment="1">
      <alignment horizontal="center" vertical="center" wrapText="1"/>
    </xf>
    <xf numFmtId="0" fontId="0" fillId="0" borderId="48" xfId="0" applyBorder="1" applyAlignment="1">
      <alignment horizontal="center" vertical="center" wrapText="1"/>
    </xf>
    <xf numFmtId="0" fontId="0" fillId="3" borderId="28" xfId="0" applyFill="1" applyBorder="1" applyAlignment="1">
      <alignment horizontal="center" vertical="center" wrapText="1"/>
    </xf>
    <xf numFmtId="0" fontId="0" fillId="3" borderId="19" xfId="0" applyFill="1" applyBorder="1" applyAlignment="1">
      <alignment horizontal="center" vertical="center" wrapText="1"/>
    </xf>
    <xf numFmtId="0" fontId="0" fillId="3" borderId="27" xfId="0" applyFill="1" applyBorder="1" applyAlignment="1">
      <alignment horizontal="center" vertical="center" wrapText="1"/>
    </xf>
    <xf numFmtId="0" fontId="11" fillId="7" borderId="0" xfId="0" applyFont="1" applyFill="1" applyAlignment="1">
      <alignment horizontal="left" vertical="center" wrapText="1" readingOrder="1"/>
    </xf>
    <xf numFmtId="0" fontId="11" fillId="7" borderId="54" xfId="0" applyFont="1" applyFill="1" applyBorder="1" applyAlignment="1">
      <alignment horizontal="left" vertical="center" wrapText="1" readingOrder="1"/>
    </xf>
    <xf numFmtId="0" fontId="11" fillId="8" borderId="0" xfId="0" applyFont="1" applyFill="1" applyAlignment="1">
      <alignment horizontal="left" vertical="center" wrapText="1" readingOrder="1"/>
    </xf>
    <xf numFmtId="0" fontId="11" fillId="8" borderId="54" xfId="0" applyFont="1" applyFill="1" applyBorder="1" applyAlignment="1">
      <alignment horizontal="left" vertical="center" wrapText="1" readingOrder="1"/>
    </xf>
    <xf numFmtId="0" fontId="11" fillId="7" borderId="57" xfId="0" applyFont="1" applyFill="1" applyBorder="1" applyAlignment="1">
      <alignment horizontal="left" vertical="center" wrapText="1" readingOrder="1"/>
    </xf>
    <xf numFmtId="0" fontId="12" fillId="9" borderId="0" xfId="0" applyFont="1" applyFill="1" applyAlignment="1">
      <alignment vertical="center" wrapText="1" readingOrder="1"/>
    </xf>
    <xf numFmtId="0" fontId="12" fillId="9" borderId="54" xfId="0" applyFont="1" applyFill="1" applyBorder="1" applyAlignment="1">
      <alignment vertical="center" wrapText="1" readingOrder="1"/>
    </xf>
    <xf numFmtId="0" fontId="8" fillId="5" borderId="55" xfId="0" applyFont="1" applyFill="1" applyBorder="1" applyAlignment="1">
      <alignment horizontal="left"/>
    </xf>
    <xf numFmtId="0" fontId="11" fillId="6" borderId="0" xfId="0" applyFont="1" applyFill="1" applyAlignment="1">
      <alignment horizontal="left" vertical="center" wrapText="1" readingOrder="1"/>
    </xf>
    <xf numFmtId="0" fontId="11" fillId="6" borderId="54" xfId="0" applyFont="1" applyFill="1" applyBorder="1" applyAlignment="1">
      <alignment horizontal="left" vertical="center" wrapText="1" readingOrder="1"/>
    </xf>
    <xf numFmtId="164" fontId="7" fillId="4" borderId="0" xfId="0" applyNumberFormat="1" applyFont="1" applyFill="1" applyAlignment="1">
      <alignment horizontal="left" vertical="center" wrapText="1" readingOrder="1"/>
    </xf>
    <xf numFmtId="0" fontId="16" fillId="9" borderId="54" xfId="0" applyFont="1" applyFill="1" applyBorder="1" applyAlignment="1">
      <alignment vertical="center" wrapText="1" readingOrder="1"/>
    </xf>
    <xf numFmtId="0" fontId="11" fillId="8" borderId="57" xfId="0" applyFont="1" applyFill="1" applyBorder="1" applyAlignment="1">
      <alignment horizontal="left" vertical="center" wrapText="1" readingOrder="1"/>
    </xf>
    <xf numFmtId="0" fontId="11" fillId="6" borderId="57" xfId="0" applyFont="1" applyFill="1" applyBorder="1" applyAlignment="1">
      <alignment horizontal="left" vertical="center" wrapText="1" readingOrder="1"/>
    </xf>
    <xf numFmtId="0" fontId="12" fillId="9" borderId="57" xfId="0" applyFont="1" applyFill="1" applyBorder="1" applyAlignment="1">
      <alignment vertical="center" wrapText="1" readingOrder="1"/>
    </xf>
    <xf numFmtId="0" fontId="11" fillId="6" borderId="51" xfId="0" applyFont="1" applyFill="1" applyBorder="1" applyAlignment="1">
      <alignment horizontal="left" vertical="center" wrapText="1" readingOrder="1"/>
    </xf>
    <xf numFmtId="0" fontId="11" fillId="6" borderId="52" xfId="0" applyFont="1" applyFill="1" applyBorder="1" applyAlignment="1">
      <alignment horizontal="left" vertical="center" wrapText="1" readingOrder="1"/>
    </xf>
    <xf numFmtId="0" fontId="11" fillId="6" borderId="51" xfId="0" applyFont="1" applyFill="1" applyBorder="1" applyAlignment="1">
      <alignment horizontal="left" vertical="top" wrapText="1" readingOrder="1"/>
    </xf>
    <xf numFmtId="0" fontId="11" fillId="6" borderId="52" xfId="0" applyFont="1" applyFill="1" applyBorder="1" applyAlignment="1">
      <alignment horizontal="left" vertical="top" wrapText="1" readingOrder="1"/>
    </xf>
    <xf numFmtId="164" fontId="7" fillId="4" borderId="55" xfId="0" applyNumberFormat="1" applyFont="1" applyFill="1" applyBorder="1" applyAlignment="1">
      <alignment horizontal="left" vertical="center" wrapText="1" readingOrder="1"/>
    </xf>
    <xf numFmtId="0" fontId="12" fillId="9" borderId="0" xfId="0" applyFont="1" applyFill="1" applyAlignment="1">
      <alignment horizontal="left" vertical="top" wrapText="1" readingOrder="1"/>
    </xf>
    <xf numFmtId="0" fontId="12" fillId="9" borderId="54" xfId="0" applyFont="1" applyFill="1" applyBorder="1" applyAlignment="1">
      <alignment horizontal="left" vertical="top" wrapText="1" readingOrder="1"/>
    </xf>
    <xf numFmtId="0" fontId="11" fillId="6" borderId="57" xfId="0" applyFont="1" applyFill="1" applyBorder="1" applyAlignment="1">
      <alignment horizontal="left" vertical="top" wrapText="1" readingOrder="1"/>
    </xf>
    <xf numFmtId="0" fontId="11" fillId="6" borderId="54" xfId="0" applyFont="1" applyFill="1" applyBorder="1" applyAlignment="1">
      <alignment horizontal="left" vertical="top" wrapText="1" readingOrder="1"/>
    </xf>
    <xf numFmtId="0" fontId="9" fillId="8" borderId="0" xfId="0" applyFont="1" applyFill="1" applyAlignment="1">
      <alignment horizontal="left" vertical="center" wrapText="1" readingOrder="1"/>
    </xf>
    <xf numFmtId="0" fontId="9" fillId="8" borderId="54" xfId="0" applyFont="1" applyFill="1" applyBorder="1" applyAlignment="1">
      <alignment horizontal="left" vertical="center" wrapText="1" readingOrder="1"/>
    </xf>
    <xf numFmtId="0" fontId="8" fillId="5" borderId="55" xfId="0" applyFont="1" applyFill="1" applyBorder="1"/>
    <xf numFmtId="0" fontId="9" fillId="6" borderId="0" xfId="0" applyFont="1" applyFill="1" applyAlignment="1">
      <alignment horizontal="left" vertical="center" wrapText="1" readingOrder="1"/>
    </xf>
    <xf numFmtId="0" fontId="9" fillId="6" borderId="54" xfId="0" applyFont="1" applyFill="1" applyBorder="1" applyAlignment="1">
      <alignment horizontal="left" vertical="center" wrapText="1" readingOrder="1"/>
    </xf>
    <xf numFmtId="0" fontId="16" fillId="6" borderId="56" xfId="0" applyFont="1" applyFill="1" applyBorder="1" applyAlignment="1">
      <alignment horizontal="left" vertical="center" wrapText="1" readingOrder="1"/>
    </xf>
    <xf numFmtId="0" fontId="11" fillId="6" borderId="51" xfId="0" quotePrefix="1" applyFont="1" applyFill="1" applyBorder="1" applyAlignment="1">
      <alignment vertical="center" wrapText="1" readingOrder="1"/>
    </xf>
    <xf numFmtId="0" fontId="11" fillId="6" borderId="52" xfId="0" applyFont="1" applyFill="1" applyBorder="1" applyAlignment="1">
      <alignment vertical="center" wrapText="1" readingOrder="1"/>
    </xf>
    <xf numFmtId="0" fontId="11" fillId="7" borderId="0" xfId="0" quotePrefix="1" applyFont="1" applyFill="1" applyAlignment="1">
      <alignment horizontal="left" vertical="center" wrapText="1" readingOrder="1"/>
    </xf>
    <xf numFmtId="0" fontId="11" fillId="7" borderId="54" xfId="0" quotePrefix="1" applyFont="1" applyFill="1" applyBorder="1" applyAlignment="1">
      <alignment horizontal="left" vertical="center" wrapText="1" readingOrder="1"/>
    </xf>
    <xf numFmtId="0" fontId="11" fillId="8" borderId="0" xfId="0" quotePrefix="1" applyFont="1" applyFill="1" applyAlignment="1">
      <alignment horizontal="left" vertical="center" wrapText="1" readingOrder="1"/>
    </xf>
    <xf numFmtId="0" fontId="11" fillId="8" borderId="54" xfId="0" quotePrefix="1" applyFont="1" applyFill="1" applyBorder="1" applyAlignment="1">
      <alignment horizontal="left" vertical="center" wrapText="1" readingOrder="1"/>
    </xf>
    <xf numFmtId="0" fontId="8" fillId="5" borderId="0" xfId="0" applyFont="1" applyFill="1"/>
    <xf numFmtId="0" fontId="11" fillId="6" borderId="0" xfId="0" applyFont="1" applyFill="1" applyAlignment="1">
      <alignment horizontal="left" vertical="top" wrapText="1" readingOrder="1"/>
    </xf>
    <xf numFmtId="164" fontId="7" fillId="4" borderId="0" xfId="0" applyNumberFormat="1" applyFont="1" applyFill="1" applyAlignment="1">
      <alignment horizontal="center" vertical="center" wrapText="1" readingOrder="1"/>
    </xf>
    <xf numFmtId="0" fontId="9" fillId="6" borderId="51" xfId="0" applyFont="1" applyFill="1" applyBorder="1" applyAlignment="1">
      <alignment horizontal="left" vertical="top" wrapText="1" readingOrder="1"/>
    </xf>
    <xf numFmtId="0" fontId="9" fillId="6" borderId="52" xfId="0" applyFont="1" applyFill="1" applyBorder="1" applyAlignment="1">
      <alignment horizontal="left" vertical="top" wrapText="1" readingOrder="1"/>
    </xf>
    <xf numFmtId="0" fontId="9" fillId="7" borderId="0" xfId="0" applyFont="1" applyFill="1" applyAlignment="1">
      <alignment horizontal="left" vertical="center" wrapText="1" readingOrder="1"/>
    </xf>
    <xf numFmtId="0" fontId="9" fillId="7" borderId="54" xfId="0" applyFont="1" applyFill="1" applyBorder="1" applyAlignment="1">
      <alignment horizontal="left" vertical="center" wrapText="1" readingOrder="1"/>
    </xf>
    <xf numFmtId="0" fontId="11" fillId="6" borderId="52" xfId="0" quotePrefix="1" applyFont="1" applyFill="1" applyBorder="1" applyAlignment="1">
      <alignment vertical="center" wrapText="1" readingOrder="1"/>
    </xf>
    <xf numFmtId="0" fontId="19" fillId="9" borderId="55" xfId="0" applyFont="1" applyFill="1" applyBorder="1" applyAlignment="1">
      <alignment vertical="center" wrapText="1" readingOrder="1"/>
    </xf>
    <xf numFmtId="0" fontId="14" fillId="9" borderId="61" xfId="0" applyFont="1" applyFill="1" applyBorder="1" applyAlignment="1">
      <alignment vertical="center" wrapText="1" readingOrder="1"/>
    </xf>
    <xf numFmtId="0" fontId="11" fillId="8" borderId="57" xfId="0" quotePrefix="1" applyFont="1" applyFill="1" applyBorder="1" applyAlignment="1">
      <alignment horizontal="left" vertical="center" wrapText="1" readingOrder="1"/>
    </xf>
    <xf numFmtId="0" fontId="11" fillId="7" borderId="57" xfId="0" quotePrefix="1" applyFont="1" applyFill="1" applyBorder="1" applyAlignment="1">
      <alignment horizontal="left" vertical="center" wrapText="1" readingOrder="1"/>
    </xf>
    <xf numFmtId="0" fontId="11" fillId="6" borderId="57" xfId="0" quotePrefix="1" applyFont="1" applyFill="1" applyBorder="1" applyAlignment="1">
      <alignment horizontal="left" vertical="top" wrapText="1" readingOrder="1"/>
    </xf>
    <xf numFmtId="0" fontId="11" fillId="6" borderId="0" xfId="0" quotePrefix="1" applyFont="1" applyFill="1" applyAlignment="1">
      <alignment horizontal="left" vertical="center" wrapText="1" readingOrder="1"/>
    </xf>
    <xf numFmtId="0" fontId="11" fillId="6" borderId="0" xfId="0" quotePrefix="1" applyFont="1" applyFill="1" applyAlignment="1">
      <alignment horizontal="left" vertical="top" wrapText="1" readingOrder="1"/>
    </xf>
    <xf numFmtId="0" fontId="12" fillId="9" borderId="62" xfId="0" applyFont="1" applyFill="1" applyBorder="1" applyAlignment="1">
      <alignment vertical="center" wrapText="1" readingOrder="1"/>
    </xf>
    <xf numFmtId="0" fontId="10" fillId="9" borderId="61" xfId="0" applyFont="1" applyFill="1" applyBorder="1" applyAlignment="1">
      <alignment vertical="center" wrapText="1" readingOrder="1"/>
    </xf>
    <xf numFmtId="0" fontId="9" fillId="10" borderId="0" xfId="0" applyFont="1" applyFill="1" applyAlignment="1">
      <alignment horizontal="left" vertical="center" wrapText="1" readingOrder="1"/>
    </xf>
    <xf numFmtId="0" fontId="9" fillId="10" borderId="54" xfId="0" applyFont="1" applyFill="1" applyBorder="1" applyAlignment="1">
      <alignment horizontal="left" vertical="center" wrapText="1" readingOrder="1"/>
    </xf>
    <xf numFmtId="0" fontId="5" fillId="0" borderId="15" xfId="0" applyFont="1" applyBorder="1" applyAlignment="1">
      <alignment horizontal="center" vertical="center"/>
    </xf>
    <xf numFmtId="0" fontId="4" fillId="0" borderId="16" xfId="0" applyFont="1" applyBorder="1" applyAlignment="1">
      <alignment horizontal="center" vertical="center"/>
    </xf>
    <xf numFmtId="0" fontId="4" fillId="0" borderId="16" xfId="0" applyFont="1" applyFill="1" applyBorder="1" applyAlignment="1">
      <alignment horizontal="center" vertical="center"/>
    </xf>
    <xf numFmtId="0" fontId="5" fillId="3" borderId="16" xfId="0" applyFont="1" applyFill="1" applyBorder="1" applyAlignment="1">
      <alignment horizontal="center" vertical="center"/>
    </xf>
    <xf numFmtId="0" fontId="4" fillId="3" borderId="16" xfId="0" applyFont="1" applyFill="1" applyBorder="1" applyAlignment="1">
      <alignment horizontal="center" vertical="center"/>
    </xf>
    <xf numFmtId="0" fontId="5" fillId="0" borderId="33"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Fill="1" applyBorder="1" applyAlignment="1">
      <alignment horizontal="center" vertical="center"/>
    </xf>
    <xf numFmtId="0" fontId="5" fillId="3" borderId="1" xfId="0" applyFont="1" applyFill="1" applyBorder="1" applyAlignment="1">
      <alignment horizontal="center" vertical="center"/>
    </xf>
    <xf numFmtId="0" fontId="4" fillId="3" borderId="1" xfId="0" applyFont="1" applyFill="1" applyBorder="1" applyAlignment="1">
      <alignment horizontal="center" vertical="center"/>
    </xf>
    <xf numFmtId="0" fontId="5" fillId="0" borderId="38" xfId="0" applyFont="1" applyBorder="1" applyAlignment="1">
      <alignment horizontal="center" vertical="center"/>
    </xf>
    <xf numFmtId="0" fontId="4" fillId="0" borderId="38" xfId="0" applyFont="1" applyBorder="1" applyAlignment="1">
      <alignment horizontal="center" vertical="center"/>
    </xf>
    <xf numFmtId="0" fontId="0" fillId="0" borderId="27" xfId="0" applyBorder="1" applyAlignment="1">
      <alignment horizontal="left" vertical="center" wrapText="1"/>
    </xf>
    <xf numFmtId="0" fontId="0" fillId="0" borderId="28" xfId="0" applyBorder="1" applyAlignment="1">
      <alignment horizontal="left" vertical="center" wrapText="1"/>
    </xf>
    <xf numFmtId="0" fontId="0" fillId="0" borderId="29" xfId="0" applyBorder="1" applyAlignment="1">
      <alignment horizontal="left" vertical="center" wrapText="1"/>
    </xf>
    <xf numFmtId="0" fontId="0" fillId="0" borderId="44" xfId="0" applyBorder="1" applyAlignment="1">
      <alignment horizontal="left" vertical="center" wrapText="1"/>
    </xf>
    <xf numFmtId="0" fontId="0" fillId="0" borderId="45"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7</xdr:col>
      <xdr:colOff>2</xdr:colOff>
      <xdr:row>1</xdr:row>
      <xdr:rowOff>0</xdr:rowOff>
    </xdr:from>
    <xdr:to>
      <xdr:col>7</xdr:col>
      <xdr:colOff>530937</xdr:colOff>
      <xdr:row>1</xdr:row>
      <xdr:rowOff>360000</xdr:rowOff>
    </xdr:to>
    <xdr:pic>
      <xdr:nvPicPr>
        <xdr:cNvPr id="3" name="Image 2">
          <a:extLst>
            <a:ext uri="{FF2B5EF4-FFF2-40B4-BE49-F238E27FC236}">
              <a16:creationId xmlns:a16="http://schemas.microsoft.com/office/drawing/2014/main" id="{C0FBDF2D-5918-493C-9163-5C7EA749B7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0237" y="201706"/>
          <a:ext cx="530935" cy="360000"/>
        </a:xfrm>
        <a:prstGeom prst="rect">
          <a:avLst/>
        </a:prstGeom>
      </xdr:spPr>
    </xdr:pic>
    <xdr:clientData/>
  </xdr:twoCellAnchor>
  <xdr:twoCellAnchor editAs="oneCell">
    <xdr:from>
      <xdr:col>8</xdr:col>
      <xdr:colOff>0</xdr:colOff>
      <xdr:row>1</xdr:row>
      <xdr:rowOff>1</xdr:rowOff>
    </xdr:from>
    <xdr:to>
      <xdr:col>8</xdr:col>
      <xdr:colOff>553601</xdr:colOff>
      <xdr:row>1</xdr:row>
      <xdr:rowOff>360001</xdr:rowOff>
    </xdr:to>
    <xdr:pic>
      <xdr:nvPicPr>
        <xdr:cNvPr id="5" name="Image 4">
          <a:extLst>
            <a:ext uri="{FF2B5EF4-FFF2-40B4-BE49-F238E27FC236}">
              <a16:creationId xmlns:a16="http://schemas.microsoft.com/office/drawing/2014/main" id="{E3430EB7-2BD8-4704-B7A7-00F08E2DA5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49471" y="201707"/>
          <a:ext cx="551999" cy="360000"/>
        </a:xfrm>
        <a:prstGeom prst="rect">
          <a:avLst/>
        </a:prstGeom>
      </xdr:spPr>
    </xdr:pic>
    <xdr:clientData/>
  </xdr:twoCellAnchor>
  <xdr:twoCellAnchor editAs="oneCell">
    <xdr:from>
      <xdr:col>11</xdr:col>
      <xdr:colOff>95250</xdr:colOff>
      <xdr:row>1</xdr:row>
      <xdr:rowOff>1</xdr:rowOff>
    </xdr:from>
    <xdr:to>
      <xdr:col>12</xdr:col>
      <xdr:colOff>53779</xdr:colOff>
      <xdr:row>1</xdr:row>
      <xdr:rowOff>360001</xdr:rowOff>
    </xdr:to>
    <xdr:pic>
      <xdr:nvPicPr>
        <xdr:cNvPr id="7" name="Image 6">
          <a:extLst>
            <a:ext uri="{FF2B5EF4-FFF2-40B4-BE49-F238E27FC236}">
              <a16:creationId xmlns:a16="http://schemas.microsoft.com/office/drawing/2014/main" id="{E3365518-E8F6-4547-BC3F-64D26223140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926036" y="204108"/>
          <a:ext cx="534111" cy="36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22.11\generals\CLIENT-AFM\TABLEAUX%20DE%20BORD\BAROMETRE%20QUALITE%20PRESTA\2021\BQ_1_CdesTel_10_maquet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de tél"/>
      <sheetName val="Référentiel"/>
      <sheetName val="Lexique et Notation"/>
      <sheetName val="Sheet2"/>
    </sheetNames>
    <sheetDataSet>
      <sheetData sheetId="0">
        <row r="3">
          <cell r="B3">
            <v>1</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0421A-1D13-4F74-924C-ED144EEED11F}">
  <sheetPr codeName="Sheet1"/>
  <dimension ref="A1:BK66"/>
  <sheetViews>
    <sheetView tabSelected="1" topLeftCell="AF8" zoomScaleNormal="100" workbookViewId="0">
      <selection activeCell="AM29" sqref="AM29"/>
    </sheetView>
  </sheetViews>
  <sheetFormatPr defaultColWidth="9.140625" defaultRowHeight="15" outlineLevelCol="1" x14ac:dyDescent="0.25"/>
  <cols>
    <col min="1" max="1" width="4.28515625" customWidth="1"/>
    <col min="2" max="2" width="10.140625" bestFit="1" customWidth="1"/>
    <col min="3" max="3" width="22.140625" style="8" bestFit="1" customWidth="1"/>
    <col min="4" max="4" width="18.28515625" style="8" customWidth="1"/>
    <col min="5" max="5" width="9" bestFit="1" customWidth="1"/>
    <col min="6" max="6" width="10.7109375" hidden="1" customWidth="1"/>
    <col min="7" max="7" width="14.7109375" bestFit="1" customWidth="1"/>
    <col min="8" max="8" width="12.42578125" bestFit="1" customWidth="1"/>
    <col min="9" max="9" width="11.140625" customWidth="1"/>
    <col min="10" max="11" width="10.5703125" hidden="1" customWidth="1"/>
    <col min="12" max="12" width="8.7109375" customWidth="1"/>
    <col min="13" max="13" width="8.7109375" customWidth="1" outlineLevel="1"/>
    <col min="14" max="14" width="8.7109375" customWidth="1"/>
    <col min="15" max="15" width="8.7109375" customWidth="1" outlineLevel="1"/>
    <col min="16" max="16" width="8.7109375" customWidth="1"/>
    <col min="17" max="17" width="8.7109375" customWidth="1" outlineLevel="1"/>
    <col min="18" max="18" width="8.7109375" customWidth="1"/>
    <col min="19" max="19" width="8.7109375" customWidth="1" outlineLevel="1"/>
    <col min="20" max="20" width="8.7109375" customWidth="1"/>
    <col min="21" max="21" width="8.7109375" customWidth="1" outlineLevel="1"/>
    <col min="22" max="22" width="8.7109375" customWidth="1"/>
    <col min="23" max="23" width="8.7109375" customWidth="1" outlineLevel="1"/>
    <col min="24" max="24" width="8.7109375" customWidth="1"/>
    <col min="25" max="25" width="8.7109375" customWidth="1" outlineLevel="1"/>
    <col min="26" max="26" width="8.7109375" customWidth="1"/>
    <col min="27" max="27" width="8.7109375" customWidth="1" outlineLevel="1"/>
    <col min="28" max="28" width="8.7109375" customWidth="1"/>
    <col min="29" max="29" width="8.7109375" customWidth="1" outlineLevel="1"/>
    <col min="30" max="30" width="8.7109375" customWidth="1"/>
    <col min="31" max="31" width="8.7109375" customWidth="1" outlineLevel="1"/>
    <col min="32" max="32" width="8.7109375" customWidth="1"/>
    <col min="33" max="33" width="8.7109375" customWidth="1" outlineLevel="1"/>
    <col min="34" max="34" width="8.7109375" customWidth="1"/>
    <col min="35" max="35" width="8.7109375" customWidth="1" outlineLevel="1"/>
    <col min="36" max="36" width="8.7109375" customWidth="1"/>
    <col min="37" max="37" width="8.7109375" customWidth="1" outlineLevel="1"/>
    <col min="38" max="38" width="8.7109375" customWidth="1"/>
    <col min="39" max="39" width="8.7109375" customWidth="1" outlineLevel="1"/>
    <col min="40" max="40" width="8.7109375" customWidth="1"/>
    <col min="41" max="41" width="8.7109375" customWidth="1" outlineLevel="1"/>
    <col min="42" max="42" width="4.42578125" customWidth="1"/>
    <col min="43" max="43" width="8.7109375" hidden="1" customWidth="1" outlineLevel="1"/>
    <col min="44" max="44" width="8.7109375" hidden="1" customWidth="1" collapsed="1"/>
    <col min="45" max="45" width="9.5703125" hidden="1" customWidth="1" outlineLevel="1"/>
    <col min="46" max="46" width="9.5703125" hidden="1" customWidth="1" collapsed="1"/>
    <col min="47" max="47" width="9.5703125" hidden="1" customWidth="1" outlineLevel="1"/>
    <col min="48" max="48" width="9.5703125" hidden="1" customWidth="1" collapsed="1"/>
    <col min="49" max="49" width="9.5703125" hidden="1" customWidth="1" outlineLevel="1"/>
    <col min="50" max="50" width="9.5703125" hidden="1" customWidth="1" collapsed="1"/>
    <col min="51" max="51" width="9.5703125" hidden="1" customWidth="1"/>
    <col min="52" max="52" width="8.85546875" style="5" customWidth="1"/>
    <col min="53" max="53" width="10.5703125" customWidth="1"/>
    <col min="54" max="55" width="10.7109375" customWidth="1"/>
    <col min="56" max="56" width="12.85546875" bestFit="1" customWidth="1"/>
    <col min="57" max="57" width="11.85546875" style="5" bestFit="1" customWidth="1"/>
    <col min="58" max="58" width="47.42578125" customWidth="1"/>
    <col min="59" max="59" width="8.7109375" customWidth="1"/>
    <col min="60" max="60" width="4.140625" customWidth="1"/>
    <col min="61" max="61" width="58.140625" customWidth="1"/>
    <col min="62" max="62" width="48.28515625" customWidth="1"/>
    <col min="63" max="63" width="65.85546875" customWidth="1"/>
    <col min="64" max="64" width="4.5703125" customWidth="1"/>
    <col min="65" max="67" width="9.140625" customWidth="1"/>
  </cols>
  <sheetData>
    <row r="1" spans="2:63" ht="15.75" thickBot="1" x14ac:dyDescent="0.3">
      <c r="BG1" t="s">
        <v>29</v>
      </c>
      <c r="BI1" t="s">
        <v>24</v>
      </c>
      <c r="BJ1" t="s">
        <v>25</v>
      </c>
      <c r="BK1" t="s">
        <v>26</v>
      </c>
    </row>
    <row r="2" spans="2:63" ht="30" customHeight="1" thickBot="1" x14ac:dyDescent="0.35">
      <c r="B2" s="63" t="str">
        <f ca="1">OFFSET(BI2,4,LEFT(CodeLang,1)-1)</f>
        <v>langue</v>
      </c>
      <c r="C2" s="46" t="str">
        <f ca="1">OFFSET(BI2,0,LEFT(CodeLang,1)-1)</f>
        <v>nom du contrôle</v>
      </c>
      <c r="D2" s="9" t="str">
        <f ca="1">OFFSET(BI2,1,LEFT(CodeLang,1)-1)</f>
        <v>Evaluation commandes tèl</v>
      </c>
      <c r="G2" s="60"/>
      <c r="H2" s="59"/>
      <c r="BG2" t="s">
        <v>30</v>
      </c>
      <c r="BI2" t="s">
        <v>8</v>
      </c>
      <c r="BJ2" t="s">
        <v>27</v>
      </c>
      <c r="BK2" t="s">
        <v>28</v>
      </c>
    </row>
    <row r="3" spans="2:63" ht="18.75" x14ac:dyDescent="0.25">
      <c r="B3" s="63">
        <v>1</v>
      </c>
      <c r="C3" s="50" t="str">
        <f ca="1">OFFSET(BI2,2,LEFT(CodeLang,1)-1)</f>
        <v>identifiant</v>
      </c>
      <c r="D3" s="51">
        <v>1</v>
      </c>
      <c r="AD3" s="18"/>
      <c r="AE3" s="18"/>
      <c r="AF3" s="18"/>
      <c r="AG3" s="18"/>
      <c r="AH3" s="18"/>
      <c r="AI3" s="18"/>
      <c r="AJ3" s="18"/>
      <c r="AK3" s="18"/>
      <c r="AL3" s="18"/>
      <c r="AM3" s="18"/>
      <c r="AN3" s="18"/>
      <c r="AO3" s="18"/>
      <c r="AP3" s="13"/>
      <c r="AQ3" s="18"/>
      <c r="AS3" s="18"/>
      <c r="AT3" s="18"/>
      <c r="AU3" s="18"/>
      <c r="AV3" s="18"/>
      <c r="AW3" s="18"/>
      <c r="AX3" s="18"/>
      <c r="AY3" s="17"/>
      <c r="AZ3" s="38"/>
      <c r="BA3" s="16" t="str">
        <f ca="1">OFFSET(BI2,42,LEFT(CodeLang,1)-1)</f>
        <v>Relation client</v>
      </c>
      <c r="BB3" s="78">
        <f>(L34+N34+P34+R34+T34+V34+X34)/(D8/10)</f>
        <v>0</v>
      </c>
      <c r="BC3" s="21" t="str">
        <f>CONCATENATE("/",(M34+O34+Q34+S34+U34+W34+Y34)/(D8/10))</f>
        <v>/38</v>
      </c>
      <c r="BD3" s="25" t="str">
        <f ca="1">OFFSET(BI2,9,LEFT(CodeLang,1)-1)</f>
        <v>objectif</v>
      </c>
      <c r="BE3" s="28">
        <f>D10</f>
        <v>0.9</v>
      </c>
      <c r="BG3" t="s">
        <v>33</v>
      </c>
      <c r="BI3" t="s">
        <v>19</v>
      </c>
      <c r="BJ3" t="s">
        <v>32</v>
      </c>
      <c r="BK3" t="s">
        <v>31</v>
      </c>
    </row>
    <row r="4" spans="2:63" x14ac:dyDescent="0.25">
      <c r="C4" s="47" t="str">
        <f ca="1">OFFSET(BI2,3,LEFT(CodeLang,1)-1)</f>
        <v>pays</v>
      </c>
      <c r="D4" s="10"/>
      <c r="I4" s="1"/>
      <c r="J4" s="1"/>
      <c r="K4" s="1"/>
      <c r="AD4" s="18"/>
      <c r="AE4" s="18"/>
      <c r="AF4" s="18"/>
      <c r="AG4" s="18"/>
      <c r="AH4" s="18"/>
      <c r="AI4" s="18"/>
      <c r="AJ4" s="18"/>
      <c r="AK4" s="72"/>
      <c r="AL4" s="70"/>
      <c r="AM4" s="70"/>
      <c r="AN4" s="70"/>
      <c r="AO4" s="70"/>
      <c r="AP4" s="69"/>
      <c r="AQ4" s="70"/>
      <c r="AS4" s="70"/>
      <c r="AT4" s="70"/>
      <c r="AU4" s="70"/>
      <c r="AV4" s="70"/>
      <c r="AW4" s="70"/>
      <c r="AX4" s="70"/>
      <c r="AY4" s="70"/>
      <c r="AZ4" s="73"/>
      <c r="BA4" s="74" t="str">
        <f ca="1">OFFSET(BI2,43,LEFT(CodeLang,1)-1)</f>
        <v>Connaissance métier</v>
      </c>
      <c r="BB4" s="79">
        <f>(Z34+AB34+AD34+AF34)/(D8/10)</f>
        <v>0</v>
      </c>
      <c r="BC4" s="75" t="str">
        <f>CONCATENATE("/",(AA34+AC34+AE34+AG34)/(D8/10))</f>
        <v>/22</v>
      </c>
      <c r="BD4" s="71" t="str">
        <f ca="1">OFFSET(BI2,20,LEFT(CodeLang,1)-1)</f>
        <v>Note sur 100</v>
      </c>
      <c r="BE4" s="81">
        <f>AZ34/(D8/10)</f>
        <v>0</v>
      </c>
      <c r="BG4" t="s">
        <v>34</v>
      </c>
      <c r="BI4" t="s">
        <v>20</v>
      </c>
      <c r="BJ4" t="s">
        <v>20</v>
      </c>
      <c r="BK4" t="s">
        <v>41</v>
      </c>
    </row>
    <row r="5" spans="2:63" x14ac:dyDescent="0.25">
      <c r="C5" s="47" t="str">
        <f ca="1">OFFSET(BI2,4,LEFT(CodeLang,1)-1)</f>
        <v>langue</v>
      </c>
      <c r="D5" s="10"/>
      <c r="AD5" s="18"/>
      <c r="AE5" s="18"/>
      <c r="AF5" s="18"/>
      <c r="AG5" s="18"/>
      <c r="AH5" s="18"/>
      <c r="AI5" s="18"/>
      <c r="AJ5" s="18"/>
      <c r="AK5" s="72"/>
      <c r="AL5" s="70"/>
      <c r="AM5" s="70"/>
      <c r="AN5" s="70"/>
      <c r="AO5" s="70"/>
      <c r="AP5" s="69"/>
      <c r="AQ5" s="70"/>
      <c r="AS5" s="70"/>
      <c r="AT5" s="70"/>
      <c r="AU5" s="70"/>
      <c r="AV5" s="70"/>
      <c r="AW5" s="70"/>
      <c r="AX5" s="70"/>
      <c r="AY5" s="70"/>
      <c r="AZ5" s="73"/>
      <c r="BA5" s="74" t="str">
        <f ca="1">OFFSET(BI2,44,LEFT(CodeLang,1)-1)</f>
        <v>Technique de vente</v>
      </c>
      <c r="BB5" s="79">
        <f>(AH34+AJ34)/(D8/10)</f>
        <v>0</v>
      </c>
      <c r="BC5" s="75" t="str">
        <f>CONCATENATE("/",(AI34+AK34)/(D8/10))</f>
        <v>/20</v>
      </c>
      <c r="BD5" s="71"/>
      <c r="BE5" s="6"/>
      <c r="BI5" t="s">
        <v>0</v>
      </c>
      <c r="BJ5" t="s">
        <v>42</v>
      </c>
      <c r="BK5" t="s">
        <v>76</v>
      </c>
    </row>
    <row r="6" spans="2:63" x14ac:dyDescent="0.25">
      <c r="C6" s="47" t="str">
        <f ca="1">OFFSET(BI2,5,LEFT(CodeLang,1)-1)</f>
        <v>prestataire</v>
      </c>
      <c r="D6" s="10"/>
      <c r="AD6" s="18"/>
      <c r="AE6" s="18"/>
      <c r="AF6" s="18"/>
      <c r="AG6" s="18"/>
      <c r="AH6" s="18"/>
      <c r="AI6" s="18"/>
      <c r="AJ6" s="18"/>
      <c r="AK6" s="72"/>
      <c r="AL6" s="70"/>
      <c r="AM6" s="70"/>
      <c r="AN6" s="70"/>
      <c r="AO6" s="70"/>
      <c r="AP6" s="69"/>
      <c r="AQ6" s="70"/>
      <c r="AS6" s="70"/>
      <c r="AT6" s="70"/>
      <c r="AU6" s="70"/>
      <c r="AV6" s="70"/>
      <c r="AW6" s="70"/>
      <c r="AX6" s="70"/>
      <c r="AY6" s="70"/>
      <c r="AZ6" s="73"/>
      <c r="BA6" s="74" t="str">
        <f ca="1">OFFSET(BI2,45,LEFT(CodeLang,1)-1)</f>
        <v>Expérience client</v>
      </c>
      <c r="BB6" s="79">
        <f>(AL34+AN34)/(D8/10)</f>
        <v>0</v>
      </c>
      <c r="BC6" s="75" t="str">
        <f>CONCATENATE("/",(AM34+AO34)/(D8/10))</f>
        <v>/20</v>
      </c>
      <c r="BD6" s="71"/>
      <c r="BE6" s="6"/>
      <c r="BI6" t="s">
        <v>1</v>
      </c>
      <c r="BJ6" t="s">
        <v>43</v>
      </c>
      <c r="BK6" t="s">
        <v>44</v>
      </c>
    </row>
    <row r="7" spans="2:63" x14ac:dyDescent="0.25">
      <c r="C7" s="47" t="str">
        <f ca="1">OFFSET(BI2,6,LEFT(CodeLang,1)-1)</f>
        <v>date de traitement</v>
      </c>
      <c r="D7" s="68"/>
      <c r="AD7" s="18"/>
      <c r="AE7" s="18"/>
      <c r="AF7" s="18"/>
      <c r="AG7" s="18"/>
      <c r="AH7" s="18"/>
      <c r="AI7" s="18"/>
      <c r="AJ7" s="18"/>
      <c r="AK7" s="18"/>
      <c r="AL7" s="18"/>
      <c r="AM7" s="18"/>
      <c r="AN7" s="18"/>
      <c r="AO7" s="18"/>
      <c r="AP7" s="14"/>
      <c r="AQ7" s="18"/>
      <c r="AS7" s="18"/>
      <c r="AT7" s="18"/>
      <c r="AU7" s="18"/>
      <c r="AV7" s="18"/>
      <c r="AW7" s="18"/>
      <c r="AX7" s="18"/>
      <c r="AY7" s="18"/>
      <c r="AZ7" s="3"/>
      <c r="BA7" s="15"/>
      <c r="BB7" s="79"/>
      <c r="BC7" s="22"/>
      <c r="BD7" s="2" t="str">
        <f ca="1">OFFSET(BI2,10,LEFT(CodeLang,1)-1)</f>
        <v>date contrôle</v>
      </c>
      <c r="BE7" s="7">
        <f>D11</f>
        <v>0</v>
      </c>
      <c r="BI7" t="s">
        <v>2</v>
      </c>
      <c r="BJ7" t="s">
        <v>46</v>
      </c>
      <c r="BK7" t="s">
        <v>45</v>
      </c>
    </row>
    <row r="8" spans="2:63" ht="15.75" thickBot="1" x14ac:dyDescent="0.3">
      <c r="C8" s="30" t="str">
        <f ca="1">OFFSET(BI2,7,LEFT(CodeLang,1)-1)</f>
        <v>Nombre de suivis</v>
      </c>
      <c r="D8" s="10">
        <v>10</v>
      </c>
      <c r="AD8" s="18"/>
      <c r="AE8" s="18"/>
      <c r="AF8" s="18"/>
      <c r="AG8" s="18"/>
      <c r="AH8" s="18"/>
      <c r="AI8" s="18"/>
      <c r="AJ8" s="18"/>
      <c r="AK8" s="18"/>
      <c r="AL8" s="18"/>
      <c r="AM8" s="18"/>
      <c r="AN8" s="18"/>
      <c r="AO8" s="18"/>
      <c r="AP8" s="27"/>
      <c r="AQ8" s="18"/>
      <c r="AS8" s="18"/>
      <c r="AT8" s="18"/>
      <c r="AU8" s="18"/>
      <c r="AV8" s="18"/>
      <c r="AW8" s="18"/>
      <c r="AX8" s="18"/>
      <c r="AY8" s="20"/>
      <c r="AZ8" s="39"/>
      <c r="BA8" s="19"/>
      <c r="BB8" s="80"/>
      <c r="BC8" s="23"/>
      <c r="BD8" s="26"/>
      <c r="BE8" s="29"/>
      <c r="BI8" t="s">
        <v>22</v>
      </c>
      <c r="BJ8" t="s">
        <v>47</v>
      </c>
      <c r="BK8" t="s">
        <v>79</v>
      </c>
    </row>
    <row r="9" spans="2:63" x14ac:dyDescent="0.25">
      <c r="C9" s="30" t="str">
        <f ca="1">OFFSET(BI2,8,LEFT(CodeLang,1)-1)</f>
        <v>évaluateur</v>
      </c>
      <c r="D9" s="10"/>
      <c r="AD9" s="18"/>
      <c r="AE9" s="18"/>
      <c r="AF9" s="18"/>
      <c r="AG9" s="18"/>
      <c r="AH9" s="18"/>
      <c r="AI9" s="18"/>
      <c r="AJ9" s="18"/>
      <c r="AK9" s="18"/>
      <c r="BI9" t="s">
        <v>3</v>
      </c>
      <c r="BJ9" t="s">
        <v>48</v>
      </c>
      <c r="BK9" t="s">
        <v>80</v>
      </c>
    </row>
    <row r="10" spans="2:63" x14ac:dyDescent="0.25">
      <c r="C10" s="30" t="str">
        <f ca="1">OFFSET(BI2,9,LEFT(CodeLang,1)-1)</f>
        <v>objectif</v>
      </c>
      <c r="D10" s="11">
        <v>0.9</v>
      </c>
      <c r="G10" s="4"/>
      <c r="AD10" s="18"/>
      <c r="AE10" s="18"/>
      <c r="AF10" s="18"/>
      <c r="AG10" s="18"/>
      <c r="AH10" s="18"/>
      <c r="AI10" s="18"/>
      <c r="AJ10" s="18"/>
      <c r="AK10" s="18"/>
      <c r="AL10" s="18"/>
      <c r="AM10" s="18"/>
      <c r="AN10" s="18"/>
      <c r="AO10" s="18"/>
      <c r="AP10" s="18"/>
      <c r="AQ10" s="18"/>
      <c r="AR10" s="18"/>
      <c r="AS10" s="18"/>
      <c r="AT10" s="18"/>
      <c r="AU10" s="18"/>
      <c r="AV10" s="18"/>
      <c r="AW10" s="18"/>
      <c r="AX10" s="18"/>
      <c r="BI10" t="s">
        <v>21</v>
      </c>
      <c r="BJ10" t="s">
        <v>49</v>
      </c>
      <c r="BK10" t="s">
        <v>50</v>
      </c>
    </row>
    <row r="11" spans="2:63" ht="15.75" thickBot="1" x14ac:dyDescent="0.3">
      <c r="C11" s="31" t="str">
        <f ca="1">OFFSET(BI2,10,LEFT(CodeLang,1)-1)</f>
        <v>date contrôle</v>
      </c>
      <c r="D11" s="12"/>
      <c r="G11" s="4"/>
      <c r="BI11" t="s">
        <v>4</v>
      </c>
      <c r="BJ11" t="s">
        <v>52</v>
      </c>
      <c r="BK11" t="s">
        <v>51</v>
      </c>
    </row>
    <row r="12" spans="2:63" ht="15.75" hidden="1" thickBot="1" x14ac:dyDescent="0.3">
      <c r="C12" s="31" t="str">
        <f ca="1">OFFSET(BI2,11,LEFT(CodeLang,1)-1)</f>
        <v>commentaire</v>
      </c>
      <c r="D12" s="12"/>
      <c r="G12" s="4"/>
      <c r="BI12" t="s">
        <v>17</v>
      </c>
      <c r="BJ12" t="s">
        <v>53</v>
      </c>
      <c r="BK12" t="s">
        <v>54</v>
      </c>
    </row>
    <row r="13" spans="2:63" ht="15.75" thickBot="1" x14ac:dyDescent="0.3">
      <c r="C13" s="3"/>
      <c r="D13" s="52"/>
      <c r="G13" s="4"/>
      <c r="BI13" t="s">
        <v>10</v>
      </c>
      <c r="BJ13" t="s">
        <v>56</v>
      </c>
      <c r="BK13" t="s">
        <v>55</v>
      </c>
    </row>
    <row r="14" spans="2:63" ht="15.75" hidden="1" thickBot="1" x14ac:dyDescent="0.3">
      <c r="C14" s="3"/>
      <c r="D14" s="52"/>
      <c r="G14" s="4"/>
    </row>
    <row r="15" spans="2:63" ht="15.75" hidden="1" thickBot="1" x14ac:dyDescent="0.3">
      <c r="C15" s="3"/>
      <c r="D15" s="52"/>
      <c r="G15" s="4"/>
    </row>
    <row r="16" spans="2:63" ht="15.75" hidden="1" thickBot="1" x14ac:dyDescent="0.3">
      <c r="G16" s="4"/>
    </row>
    <row r="17" spans="1:63" ht="15.75" hidden="1" thickBot="1" x14ac:dyDescent="0.3">
      <c r="C17" s="3"/>
      <c r="D17" s="52"/>
      <c r="G17" s="4"/>
    </row>
    <row r="18" spans="1:63" ht="15.75" hidden="1" thickBot="1" x14ac:dyDescent="0.3">
      <c r="C18" s="3"/>
      <c r="D18" s="52"/>
      <c r="G18" s="4"/>
    </row>
    <row r="19" spans="1:63" ht="15.75" hidden="1" thickBot="1" x14ac:dyDescent="0.3">
      <c r="C19" s="3"/>
      <c r="D19" s="52"/>
      <c r="G19" s="4"/>
    </row>
    <row r="20" spans="1:63" ht="15.75" hidden="1" thickBot="1" x14ac:dyDescent="0.3">
      <c r="G20" s="4"/>
    </row>
    <row r="21" spans="1:63" s="24" customFormat="1" ht="27" customHeight="1" thickBot="1" x14ac:dyDescent="0.3">
      <c r="B21" s="33" t="str">
        <f ca="1">OFFSET(BI2,29,LEFT(CodeLang,1)-1)</f>
        <v>n° d'appel</v>
      </c>
      <c r="C21" s="34" t="str">
        <f ca="1">OFFSET(BI2,30,LEFT(CodeLang,1)-1)</f>
        <v>agent</v>
      </c>
      <c r="D21" s="34" t="str">
        <f ca="1">OFFSET(BI2,31,LEFT(CodeLang,1)-1)</f>
        <v>n° client</v>
      </c>
      <c r="E21" s="34" t="str">
        <f ca="1">OFFSET(BI2,32,LEFT(CodeLang,1)-1)</f>
        <v>pays</v>
      </c>
      <c r="F21" s="34" t="str">
        <f ca="1">OFFSET(BI2,33,LEFT(CodeLang,1)-1)</f>
        <v>n°cde n°req</v>
      </c>
      <c r="G21" s="34" t="str">
        <f ca="1">OFFSET(BI2,34,LEFT(CodeLang,1)-1)</f>
        <v>n° tel</v>
      </c>
      <c r="H21" s="34" t="str">
        <f ca="1">OFFSET(BI2,35,LEFT(CodeLang,1)-1)</f>
        <v>DMT DMC</v>
      </c>
      <c r="I21" s="34" t="str">
        <f ca="1">OFFSET(BI2,36,LEFT(CodeLang,1)-1)</f>
        <v>type de cde</v>
      </c>
      <c r="J21" s="34" t="str">
        <f ca="1">OFFSET(BI2,37,LEFT(CodeLang,1)-1)</f>
        <v>Demande client</v>
      </c>
      <c r="K21" s="64" t="str">
        <f ca="1">OFFSET(BJ2,38,LEFT(CodeLang,1)-1)</f>
        <v>ID contact</v>
      </c>
      <c r="L21" s="172" t="str">
        <f ca="1">OFFSET(BI2,42,LEFT(CodeLang,1)-1)</f>
        <v>Relation client</v>
      </c>
      <c r="M21" s="172"/>
      <c r="N21" s="172"/>
      <c r="O21" s="172"/>
      <c r="P21" s="172"/>
      <c r="Q21" s="172"/>
      <c r="R21" s="172"/>
      <c r="S21" s="172"/>
      <c r="T21" s="172"/>
      <c r="U21" s="172"/>
      <c r="V21" s="172"/>
      <c r="W21" s="172"/>
      <c r="X21" s="172"/>
      <c r="Y21" s="172"/>
      <c r="Z21" s="165" t="str">
        <f ca="1">OFFSET(BI2,43,LEFT(CodeLang,1)-1)</f>
        <v>Connaissance métier</v>
      </c>
      <c r="AA21" s="166"/>
      <c r="AB21" s="166"/>
      <c r="AC21" s="166"/>
      <c r="AD21" s="166"/>
      <c r="AE21" s="166"/>
      <c r="AF21" s="166"/>
      <c r="AG21" s="167"/>
      <c r="AH21" s="165" t="str">
        <f ca="1">OFFSET(BI2,44,LEFT(CodeLang,1)-1)</f>
        <v>Technique de vente</v>
      </c>
      <c r="AI21" s="166"/>
      <c r="AJ21" s="166"/>
      <c r="AK21" s="167"/>
      <c r="AL21" s="165" t="str">
        <f ca="1">OFFSET(BI2,45,LEFT(CodeLang,1)-1)</f>
        <v>Expérience client</v>
      </c>
      <c r="AM21" s="166"/>
      <c r="AN21" s="166"/>
      <c r="AO21" s="167"/>
      <c r="AP21" s="120"/>
      <c r="AQ21" s="119"/>
      <c r="AR21" s="174"/>
      <c r="AS21" s="175"/>
      <c r="AT21" s="170"/>
      <c r="AU21" s="171"/>
      <c r="AV21" s="170"/>
      <c r="AW21" s="171"/>
      <c r="AX21" s="170"/>
      <c r="AY21" s="171"/>
      <c r="AZ21" s="34" t="str">
        <f ca="1">OFFSET(BI2,22,LEFT(CodeLang,1)-1)</f>
        <v>note totale</v>
      </c>
      <c r="BA21" s="147" t="str">
        <f ca="1">OFFSET(BI2,11,LEFT(CodeLang,1)-1)</f>
        <v>commentaire</v>
      </c>
      <c r="BB21" s="148"/>
      <c r="BC21" s="148"/>
      <c r="BD21" s="148"/>
      <c r="BE21" s="149"/>
      <c r="BF21" s="145" t="s">
        <v>75</v>
      </c>
    </row>
    <row r="22" spans="1:63" s="24" customFormat="1" ht="53.25" customHeight="1" x14ac:dyDescent="0.25">
      <c r="B22" s="53"/>
      <c r="C22" s="54"/>
      <c r="D22" s="54"/>
      <c r="E22" s="54"/>
      <c r="F22" s="54"/>
      <c r="G22" s="54"/>
      <c r="H22" s="54"/>
      <c r="I22" s="54"/>
      <c r="J22" s="54"/>
      <c r="K22" s="82"/>
      <c r="L22" s="173" t="str">
        <f ca="1">OFFSET(BI2,50,LEFT(CodeLang,1)-1)</f>
        <v>Accueil</v>
      </c>
      <c r="M22" s="169"/>
      <c r="N22" s="168" t="str">
        <f ca="1">OFFSET(BI2,51,LEFT(CodeLang,1)-1)</f>
        <v>Identification</v>
      </c>
      <c r="O22" s="169"/>
      <c r="P22" s="168" t="str">
        <f ca="1">OFFSET(BI2,52,LEFT(CodeLang,1)-1)</f>
        <v>Climat</v>
      </c>
      <c r="Q22" s="169"/>
      <c r="R22" s="168" t="str">
        <f ca="1">OFFSET(BI2,53,LEFT(CodeLang,1)-1)</f>
        <v>Respect de la mise en attente</v>
      </c>
      <c r="S22" s="169"/>
      <c r="T22" s="168" t="str">
        <f ca="1">OFFSET(BI2,54,LEFT(CodeLang,1)-1)</f>
        <v>Conclusion de contact</v>
      </c>
      <c r="U22" s="169"/>
      <c r="V22" s="168" t="str">
        <f ca="1">OFFSET(BI2,55,LEFT(CodeLang,1)-1)</f>
        <v>Prise de congés</v>
      </c>
      <c r="W22" s="169"/>
      <c r="X22" s="168" t="str">
        <f ca="1">OFFSET(BI2,56,LEFT(CodeLang,1)-1)</f>
        <v>Personnalisation</v>
      </c>
      <c r="Y22" s="169"/>
      <c r="Z22" s="168" t="str">
        <f ca="1">OFFSET(BI2,57,LEFT(CodeLang,1)-1)</f>
        <v>Pré-commande (demande code avantage)</v>
      </c>
      <c r="AA22" s="169"/>
      <c r="AB22" s="168" t="str">
        <f ca="1">OFFSET(BI2,58,LEFT(CodeLang,1)-1)</f>
        <v>Commande : nom des articles, prix disponibilités</v>
      </c>
      <c r="AC22" s="169"/>
      <c r="AD22" s="168" t="str">
        <f ca="1">OFFSET(BI2,59,LEFT(CodeLang,1)-1)</f>
        <v>Traitement/utilisation des outils</v>
      </c>
      <c r="AE22" s="169"/>
      <c r="AF22" s="168" t="str">
        <f ca="1">OFFSET(BI2,60,LEFT(CodeLang,1)-1)</f>
        <v>Collecte des coordonnées bancaires</v>
      </c>
      <c r="AG22" s="169"/>
      <c r="AH22" s="168" t="str">
        <f ca="1">OFFSET(BI2,61,LEFT(CodeLang,1)-1)</f>
        <v>Proposition (rebond commercial)</v>
      </c>
      <c r="AI22" s="169"/>
      <c r="AJ22" s="170" t="str">
        <f ca="1">OFFSET(BI2,62,LEFT(CodeLang,1)-1)</f>
        <v>Traitement de l'objection</v>
      </c>
      <c r="AK22" s="171"/>
      <c r="AL22" s="176" t="str">
        <f ca="1">OFFSET(BI2,63,LEFT(CodeLang,1)-1)</f>
        <v>Ecoute active</v>
      </c>
      <c r="AM22" s="175"/>
      <c r="AN22" s="170" t="str">
        <f ca="1">OFFSET(BI2,64,LEFT(CodeLang,1)-1)</f>
        <v>Accompagnement client</v>
      </c>
      <c r="AO22" s="171"/>
      <c r="AP22" s="121"/>
      <c r="AQ22" s="118"/>
      <c r="AR22" s="115"/>
      <c r="AS22" s="115"/>
      <c r="AT22" s="54"/>
      <c r="AU22" s="54"/>
      <c r="AV22" s="54"/>
      <c r="AW22" s="54"/>
      <c r="AX22" s="54"/>
      <c r="AY22" s="54"/>
      <c r="AZ22" s="54"/>
      <c r="BA22" s="150"/>
      <c r="BB22" s="151"/>
      <c r="BC22" s="151"/>
      <c r="BD22" s="151"/>
      <c r="BE22" s="152"/>
      <c r="BF22" s="146"/>
      <c r="BI22" t="s">
        <v>9</v>
      </c>
      <c r="BJ22" t="s">
        <v>57</v>
      </c>
      <c r="BK22" t="s">
        <v>403</v>
      </c>
    </row>
    <row r="23" spans="1:63" s="24" customFormat="1" ht="30.75" customHeight="1" thickBot="1" x14ac:dyDescent="0.3">
      <c r="B23" s="35"/>
      <c r="C23" s="36"/>
      <c r="D23" s="36"/>
      <c r="E23" s="36"/>
      <c r="F23" s="36"/>
      <c r="G23" s="36"/>
      <c r="H23" s="36"/>
      <c r="I23" s="36"/>
      <c r="J23" s="36"/>
      <c r="K23" s="65"/>
      <c r="L23" s="35" t="str">
        <f ca="1">OFFSET(BI2,21,LEFT(CodeLang,1)-1)</f>
        <v>note</v>
      </c>
      <c r="M23" s="36" t="str">
        <f ca="1">OFFSET(BI2,27,LEFT(CodeLang,1)-1)</f>
        <v>barème</v>
      </c>
      <c r="N23" s="37" t="str">
        <f ca="1">OFFSET(BI2,21,LEFT(CodeLang,1)-1)</f>
        <v>note</v>
      </c>
      <c r="O23" s="36" t="str">
        <f ca="1">OFFSET(BI2,27,LEFT(CodeLang,1)-1)</f>
        <v>barème</v>
      </c>
      <c r="P23" s="36" t="str">
        <f ca="1">OFFSET(BI2,21,LEFT(CodeLang,1)-1)</f>
        <v>note</v>
      </c>
      <c r="Q23" s="36" t="str">
        <f ca="1">OFFSET(BI2,27,LEFT(CodeLang,1)-1)</f>
        <v>barème</v>
      </c>
      <c r="R23" s="36" t="str">
        <f ca="1">OFFSET(BI2,21,LEFT(CodeLang,1)-1)</f>
        <v>note</v>
      </c>
      <c r="S23" s="36" t="str">
        <f ca="1">OFFSET(BI2,27,LEFT(CodeLang,1)-1)</f>
        <v>barème</v>
      </c>
      <c r="T23" s="36" t="str">
        <f ca="1">OFFSET(BI2,21,LEFT(CodeLang,1)-1)</f>
        <v>note</v>
      </c>
      <c r="U23" s="36" t="str">
        <f ca="1">OFFSET(BI2,27,LEFT(CodeLang,1)-1)</f>
        <v>barème</v>
      </c>
      <c r="V23" s="36" t="str">
        <f ca="1">OFFSET(BI2,21,LEFT(CodeLang,1)-1)</f>
        <v>note</v>
      </c>
      <c r="W23" s="36" t="str">
        <f ca="1">OFFSET(BI2,27,LEFT(CodeLang,1)-1)</f>
        <v>barème</v>
      </c>
      <c r="X23" s="36" t="str">
        <f ca="1">OFFSET(BI2,21,LEFT(CodeLang,1)-1)</f>
        <v>note</v>
      </c>
      <c r="Y23" s="36" t="str">
        <f ca="1">OFFSET(BI2,27,LEFT(CodeLang,1)-1)</f>
        <v>barème</v>
      </c>
      <c r="Z23" s="36" t="str">
        <f ca="1">OFFSET(BI2,21,LEFT(CodeLang,1)-1)</f>
        <v>note</v>
      </c>
      <c r="AA23" s="36" t="str">
        <f ca="1">OFFSET(BI2,27,LEFT(CodeLang,1)-1)</f>
        <v>barème</v>
      </c>
      <c r="AB23" s="36" t="str">
        <f ca="1">OFFSET(BI2,21,LEFT(CodeLang,1)-1)</f>
        <v>note</v>
      </c>
      <c r="AC23" s="36" t="str">
        <f ca="1">OFFSET(BI2,27,LEFT(CodeLang,1)-1)</f>
        <v>barème</v>
      </c>
      <c r="AD23" s="36" t="str">
        <f ca="1">OFFSET(BI2,21,LEFT(CodeLang,1)-1)</f>
        <v>note</v>
      </c>
      <c r="AE23" s="36" t="str">
        <f ca="1">OFFSET(BI2,27,LEFT(CodeLang,1)-1)</f>
        <v>barème</v>
      </c>
      <c r="AF23" s="36" t="str">
        <f ca="1">OFFSET(BI2,21,LEFT(CodeLang,1)-1)</f>
        <v>note</v>
      </c>
      <c r="AG23" s="36" t="str">
        <f ca="1">OFFSET(BI2,27,LEFT(CodeLang,1)-1)</f>
        <v>barème</v>
      </c>
      <c r="AH23" s="36" t="str">
        <f ca="1">OFFSET(BI2,21,LEFT(CodeLang,1)-1)</f>
        <v>note</v>
      </c>
      <c r="AI23" s="36" t="str">
        <f ca="1">OFFSET(BI2,27,LEFT(CodeLang,1)-1)</f>
        <v>barème</v>
      </c>
      <c r="AJ23" s="36" t="str">
        <f ca="1">OFFSET(BI2,21,LEFT(CodeLang,1)-1)</f>
        <v>note</v>
      </c>
      <c r="AK23" s="36" t="str">
        <f ca="1">OFFSET(BI2,27,LEFT(CodeLang,1)-1)</f>
        <v>barème</v>
      </c>
      <c r="AL23" s="90" t="str">
        <f ca="1">OFFSET(BI2,21,LEFT(CodeLang,1)-1)</f>
        <v>note</v>
      </c>
      <c r="AM23" s="90" t="str">
        <f ca="1">OFFSET(BI2,27,LEFT(CodeLang,1)-1)</f>
        <v>barème</v>
      </c>
      <c r="AN23" s="36" t="str">
        <f ca="1">OFFSET(BI2,21,LEFT(CodeLang,1)-1)</f>
        <v>note</v>
      </c>
      <c r="AO23" s="36" t="str">
        <f ca="1">OFFSET(BI2,27,LEFT(CodeLang,1)-1)</f>
        <v>barème</v>
      </c>
      <c r="AP23" s="87"/>
      <c r="AQ23" s="36"/>
      <c r="AR23" s="90"/>
      <c r="AS23" s="90" t="s">
        <v>13</v>
      </c>
      <c r="AT23" s="36" t="str">
        <f ca="1">OFFSET(BI2,21,LEFT(CodeLang,1)-1)</f>
        <v>note</v>
      </c>
      <c r="AU23" s="36" t="s">
        <v>13</v>
      </c>
      <c r="AV23" s="36" t="str">
        <f ca="1">OFFSET(BI2,21,LEFT(CodeLang,1)-1)</f>
        <v>note</v>
      </c>
      <c r="AW23" s="36" t="s">
        <v>13</v>
      </c>
      <c r="AX23" s="36" t="str">
        <f ca="1">OFFSET(BI2,21,LEFT(CodeLang,1)-1)</f>
        <v>note</v>
      </c>
      <c r="AY23" s="36" t="s">
        <v>13</v>
      </c>
      <c r="AZ23" s="36" t="str">
        <f ca="1">OFFSET(BI2,21,LEFT(CodeLang,1)-1)</f>
        <v>note</v>
      </c>
      <c r="BA23" s="153"/>
      <c r="BB23" s="154"/>
      <c r="BC23" s="154"/>
      <c r="BD23" s="154"/>
      <c r="BE23" s="155"/>
      <c r="BF23" s="146"/>
      <c r="BI23" t="s">
        <v>12</v>
      </c>
      <c r="BJ23" t="s">
        <v>12</v>
      </c>
      <c r="BK23" t="s">
        <v>81</v>
      </c>
    </row>
    <row r="24" spans="1:63" ht="30.75" customHeight="1" x14ac:dyDescent="0.25">
      <c r="A24" t="s">
        <v>23</v>
      </c>
      <c r="B24" s="41">
        <v>1</v>
      </c>
      <c r="C24" s="130"/>
      <c r="D24" s="131"/>
      <c r="E24" s="132"/>
      <c r="F24" s="132"/>
      <c r="G24" s="133"/>
      <c r="H24" s="134"/>
      <c r="I24" s="142"/>
      <c r="J24" s="34"/>
      <c r="K24" s="64"/>
      <c r="L24" s="232"/>
      <c r="M24" s="233">
        <v>0.5</v>
      </c>
      <c r="N24" s="76"/>
      <c r="O24" s="233">
        <v>1</v>
      </c>
      <c r="P24" s="76"/>
      <c r="Q24" s="233">
        <v>0.5</v>
      </c>
      <c r="R24" s="76"/>
      <c r="S24" s="233">
        <v>0.3</v>
      </c>
      <c r="T24" s="76"/>
      <c r="U24" s="233">
        <v>0.5</v>
      </c>
      <c r="V24" s="76"/>
      <c r="W24" s="234">
        <v>0.5</v>
      </c>
      <c r="X24" s="76"/>
      <c r="Y24" s="234">
        <v>0.5</v>
      </c>
      <c r="Z24" s="76"/>
      <c r="AA24" s="234">
        <v>0.5</v>
      </c>
      <c r="AB24" s="76"/>
      <c r="AC24" s="234">
        <v>1.2</v>
      </c>
      <c r="AD24" s="76"/>
      <c r="AE24" s="234">
        <v>0.3</v>
      </c>
      <c r="AF24" s="76"/>
      <c r="AG24" s="234">
        <v>0.2</v>
      </c>
      <c r="AH24" s="76"/>
      <c r="AI24" s="234">
        <v>1</v>
      </c>
      <c r="AJ24" s="76"/>
      <c r="AK24" s="234">
        <v>1</v>
      </c>
      <c r="AL24" s="235"/>
      <c r="AM24" s="236">
        <v>1</v>
      </c>
      <c r="AN24" s="76"/>
      <c r="AO24" s="91">
        <v>1</v>
      </c>
      <c r="AP24" s="88"/>
      <c r="AQ24" s="91"/>
      <c r="AR24" s="91"/>
      <c r="AS24" s="91"/>
      <c r="AT24" s="42"/>
      <c r="AU24" s="42"/>
      <c r="AV24" s="42"/>
      <c r="AW24" s="42"/>
      <c r="AX24" s="42"/>
      <c r="AY24" s="42"/>
      <c r="AZ24" s="43">
        <f>SUM(L24,N24,P24,R24,T24,V24,X24,Z24,AB24,AD24,AF24,AH24,AJ24,AL24,AN24,AP24,AR24,AT24,AV24,AX24)</f>
        <v>0</v>
      </c>
      <c r="BA24" s="244"/>
      <c r="BB24" s="245"/>
      <c r="BC24" s="245"/>
      <c r="BD24" s="245"/>
      <c r="BE24" s="246"/>
      <c r="BF24" s="247"/>
      <c r="BI24" t="s">
        <v>14</v>
      </c>
      <c r="BJ24" t="s">
        <v>58</v>
      </c>
      <c r="BK24" t="s">
        <v>59</v>
      </c>
    </row>
    <row r="25" spans="1:63" ht="30.75" customHeight="1" x14ac:dyDescent="0.25">
      <c r="A25" t="s">
        <v>23</v>
      </c>
      <c r="B25" s="45">
        <v>2</v>
      </c>
      <c r="C25" s="135"/>
      <c r="D25" s="136"/>
      <c r="E25" s="137"/>
      <c r="F25" s="137"/>
      <c r="G25" s="138"/>
      <c r="H25" s="139"/>
      <c r="I25" s="144"/>
      <c r="J25" s="85"/>
      <c r="K25" s="83"/>
      <c r="L25" s="237"/>
      <c r="M25" s="238">
        <v>0.5</v>
      </c>
      <c r="N25" s="77"/>
      <c r="O25" s="238">
        <v>1</v>
      </c>
      <c r="P25" s="77"/>
      <c r="Q25" s="238">
        <v>0.5</v>
      </c>
      <c r="R25" s="77"/>
      <c r="S25" s="238">
        <v>0.3</v>
      </c>
      <c r="T25" s="77"/>
      <c r="U25" s="238">
        <v>0.5</v>
      </c>
      <c r="V25" s="77"/>
      <c r="W25" s="239">
        <v>0.5</v>
      </c>
      <c r="X25" s="77"/>
      <c r="Y25" s="239">
        <v>0.5</v>
      </c>
      <c r="Z25" s="77"/>
      <c r="AA25" s="239">
        <v>0.5</v>
      </c>
      <c r="AB25" s="77"/>
      <c r="AC25" s="239">
        <v>1.2</v>
      </c>
      <c r="AD25" s="77"/>
      <c r="AE25" s="239">
        <v>0.3</v>
      </c>
      <c r="AF25" s="77"/>
      <c r="AG25" s="239">
        <v>0.2</v>
      </c>
      <c r="AH25" s="77"/>
      <c r="AI25" s="239">
        <v>1</v>
      </c>
      <c r="AJ25" s="77"/>
      <c r="AK25" s="239">
        <v>1</v>
      </c>
      <c r="AL25" s="240"/>
      <c r="AM25" s="241">
        <v>1</v>
      </c>
      <c r="AN25" s="77"/>
      <c r="AO25" s="92">
        <v>1</v>
      </c>
      <c r="AP25" s="89"/>
      <c r="AQ25" s="92"/>
      <c r="AR25" s="92"/>
      <c r="AS25" s="92"/>
      <c r="AT25" s="44"/>
      <c r="AU25" s="44"/>
      <c r="AV25" s="44"/>
      <c r="AW25" s="44"/>
      <c r="AX25" s="44"/>
      <c r="AY25" s="44"/>
      <c r="AZ25" s="55">
        <f t="shared" ref="AZ25:AZ34" si="0">SUM(L25,N25,P25,R25,T25,V25,X25,Z25,AB25,AD25,AF25,AH25,AJ25,AL25,AN25,AP25,AR25,AT25,AV25,AX25)</f>
        <v>0</v>
      </c>
      <c r="BA25" s="162"/>
      <c r="BB25" s="163"/>
      <c r="BC25" s="163"/>
      <c r="BD25" s="163"/>
      <c r="BE25" s="164"/>
      <c r="BF25" s="248"/>
      <c r="BI25" t="s">
        <v>10</v>
      </c>
      <c r="BJ25" t="s">
        <v>56</v>
      </c>
      <c r="BK25" t="s">
        <v>55</v>
      </c>
    </row>
    <row r="26" spans="1:63" ht="30.75" customHeight="1" x14ac:dyDescent="0.25">
      <c r="A26" t="s">
        <v>23</v>
      </c>
      <c r="B26" s="45">
        <v>3</v>
      </c>
      <c r="C26" s="140"/>
      <c r="D26" s="138"/>
      <c r="E26" s="137"/>
      <c r="F26" s="137"/>
      <c r="G26" s="138"/>
      <c r="H26" s="139"/>
      <c r="I26" s="144"/>
      <c r="J26" s="85"/>
      <c r="K26" s="83"/>
      <c r="L26" s="237"/>
      <c r="M26" s="238">
        <v>0.5</v>
      </c>
      <c r="N26" s="77"/>
      <c r="O26" s="238">
        <v>1</v>
      </c>
      <c r="P26" s="77"/>
      <c r="Q26" s="238">
        <v>0.5</v>
      </c>
      <c r="R26" s="77"/>
      <c r="S26" s="238">
        <v>0.3</v>
      </c>
      <c r="T26" s="77"/>
      <c r="U26" s="238">
        <v>0.5</v>
      </c>
      <c r="V26" s="77"/>
      <c r="W26" s="239">
        <v>0.5</v>
      </c>
      <c r="X26" s="77"/>
      <c r="Y26" s="239">
        <v>0.5</v>
      </c>
      <c r="Z26" s="77"/>
      <c r="AA26" s="239">
        <v>0.5</v>
      </c>
      <c r="AB26" s="77"/>
      <c r="AC26" s="239">
        <v>1.2</v>
      </c>
      <c r="AD26" s="77"/>
      <c r="AE26" s="239">
        <v>0.3</v>
      </c>
      <c r="AF26" s="77"/>
      <c r="AG26" s="239">
        <v>0.2</v>
      </c>
      <c r="AH26" s="77"/>
      <c r="AI26" s="239">
        <v>1</v>
      </c>
      <c r="AJ26" s="77"/>
      <c r="AK26" s="239">
        <v>1</v>
      </c>
      <c r="AL26" s="240"/>
      <c r="AM26" s="241">
        <v>1</v>
      </c>
      <c r="AN26" s="77"/>
      <c r="AO26" s="92">
        <v>1</v>
      </c>
      <c r="AP26" s="89"/>
      <c r="AQ26" s="92"/>
      <c r="AR26" s="92"/>
      <c r="AS26" s="92"/>
      <c r="AT26" s="44"/>
      <c r="AU26" s="44"/>
      <c r="AV26" s="44"/>
      <c r="AW26" s="44"/>
      <c r="AX26" s="44"/>
      <c r="AY26" s="44"/>
      <c r="AZ26" s="55">
        <f t="shared" si="0"/>
        <v>0</v>
      </c>
      <c r="BA26" s="162"/>
      <c r="BB26" s="163"/>
      <c r="BC26" s="163"/>
      <c r="BD26" s="163"/>
      <c r="BE26" s="164"/>
      <c r="BF26" s="248"/>
      <c r="BI26" t="s">
        <v>38</v>
      </c>
      <c r="BJ26" t="s">
        <v>61</v>
      </c>
      <c r="BK26" t="s">
        <v>60</v>
      </c>
    </row>
    <row r="27" spans="1:63" ht="30.75" customHeight="1" x14ac:dyDescent="0.25">
      <c r="A27" t="s">
        <v>23</v>
      </c>
      <c r="B27" s="45">
        <v>4</v>
      </c>
      <c r="C27" s="137"/>
      <c r="D27" s="138"/>
      <c r="E27" s="137"/>
      <c r="F27" s="137"/>
      <c r="G27" s="141"/>
      <c r="H27" s="139"/>
      <c r="I27" s="144"/>
      <c r="J27" s="85"/>
      <c r="K27" s="83"/>
      <c r="L27" s="237"/>
      <c r="M27" s="238">
        <v>0.5</v>
      </c>
      <c r="N27" s="77"/>
      <c r="O27" s="238">
        <v>1</v>
      </c>
      <c r="P27" s="77"/>
      <c r="Q27" s="238">
        <v>0.5</v>
      </c>
      <c r="R27" s="77"/>
      <c r="S27" s="238">
        <v>0.3</v>
      </c>
      <c r="T27" s="77"/>
      <c r="U27" s="238">
        <v>0.5</v>
      </c>
      <c r="V27" s="77"/>
      <c r="W27" s="239">
        <v>0.5</v>
      </c>
      <c r="X27" s="77"/>
      <c r="Y27" s="239">
        <v>0.5</v>
      </c>
      <c r="Z27" s="77"/>
      <c r="AA27" s="239">
        <v>0.5</v>
      </c>
      <c r="AB27" s="77"/>
      <c r="AC27" s="239">
        <v>1.2</v>
      </c>
      <c r="AD27" s="77"/>
      <c r="AE27" s="239">
        <v>0.3</v>
      </c>
      <c r="AF27" s="77"/>
      <c r="AG27" s="239">
        <v>0.2</v>
      </c>
      <c r="AH27" s="77"/>
      <c r="AI27" s="239">
        <v>1</v>
      </c>
      <c r="AJ27" s="77"/>
      <c r="AK27" s="239">
        <v>1</v>
      </c>
      <c r="AL27" s="240"/>
      <c r="AM27" s="241">
        <v>1</v>
      </c>
      <c r="AN27" s="77"/>
      <c r="AO27" s="92">
        <v>1</v>
      </c>
      <c r="AP27" s="89"/>
      <c r="AQ27" s="92"/>
      <c r="AR27" s="92"/>
      <c r="AS27" s="92"/>
      <c r="AT27" s="44"/>
      <c r="AU27" s="44"/>
      <c r="AV27" s="44"/>
      <c r="AW27" s="44"/>
      <c r="AX27" s="44"/>
      <c r="AY27" s="44"/>
      <c r="AZ27" s="55">
        <f t="shared" si="0"/>
        <v>0</v>
      </c>
      <c r="BA27" s="162"/>
      <c r="BB27" s="163"/>
      <c r="BC27" s="163"/>
      <c r="BD27" s="163"/>
      <c r="BE27" s="164"/>
      <c r="BF27" s="248"/>
      <c r="BI27" t="s">
        <v>39</v>
      </c>
      <c r="BJ27" t="s">
        <v>62</v>
      </c>
      <c r="BK27" t="s">
        <v>63</v>
      </c>
    </row>
    <row r="28" spans="1:63" ht="30.75" customHeight="1" x14ac:dyDescent="0.25">
      <c r="A28" t="s">
        <v>23</v>
      </c>
      <c r="B28" s="45">
        <v>5</v>
      </c>
      <c r="C28" s="137"/>
      <c r="D28" s="138"/>
      <c r="E28" s="137"/>
      <c r="F28" s="137"/>
      <c r="G28" s="138"/>
      <c r="H28" s="139"/>
      <c r="I28" s="144"/>
      <c r="J28" s="85"/>
      <c r="K28" s="83"/>
      <c r="L28" s="237"/>
      <c r="M28" s="238">
        <v>0.5</v>
      </c>
      <c r="N28" s="242"/>
      <c r="O28" s="243">
        <v>1</v>
      </c>
      <c r="P28" s="77"/>
      <c r="Q28" s="238">
        <v>0.5</v>
      </c>
      <c r="R28" s="77"/>
      <c r="S28" s="238">
        <v>0.3</v>
      </c>
      <c r="T28" s="77"/>
      <c r="U28" s="238">
        <v>0.5</v>
      </c>
      <c r="V28" s="77"/>
      <c r="W28" s="239">
        <v>0.5</v>
      </c>
      <c r="X28" s="77"/>
      <c r="Y28" s="239">
        <v>0.5</v>
      </c>
      <c r="Z28" s="77"/>
      <c r="AA28" s="239">
        <v>0.5</v>
      </c>
      <c r="AB28" s="77"/>
      <c r="AC28" s="239">
        <v>1.2</v>
      </c>
      <c r="AD28" s="77"/>
      <c r="AE28" s="239">
        <v>0.3</v>
      </c>
      <c r="AF28" s="77"/>
      <c r="AG28" s="239">
        <v>0.2</v>
      </c>
      <c r="AH28" s="77"/>
      <c r="AI28" s="239">
        <v>1</v>
      </c>
      <c r="AJ28" s="77"/>
      <c r="AK28" s="239">
        <v>1</v>
      </c>
      <c r="AL28" s="240"/>
      <c r="AM28" s="241">
        <v>1</v>
      </c>
      <c r="AN28" s="77"/>
      <c r="AO28" s="92">
        <v>1</v>
      </c>
      <c r="AP28" s="89"/>
      <c r="AQ28" s="92"/>
      <c r="AR28" s="92"/>
      <c r="AS28" s="92"/>
      <c r="AT28" s="44"/>
      <c r="AU28" s="44"/>
      <c r="AV28" s="44"/>
      <c r="AW28" s="44"/>
      <c r="AX28" s="44"/>
      <c r="AY28" s="44"/>
      <c r="AZ28" s="55">
        <f t="shared" si="0"/>
        <v>0</v>
      </c>
      <c r="BA28" s="162"/>
      <c r="BB28" s="163"/>
      <c r="BC28" s="163"/>
      <c r="BD28" s="163"/>
      <c r="BE28" s="164"/>
      <c r="BF28" s="248"/>
      <c r="BI28" t="s">
        <v>40</v>
      </c>
      <c r="BJ28" t="s">
        <v>40</v>
      </c>
      <c r="BK28" t="s">
        <v>64</v>
      </c>
    </row>
    <row r="29" spans="1:63" ht="30.75" customHeight="1" x14ac:dyDescent="0.25">
      <c r="A29" t="s">
        <v>23</v>
      </c>
      <c r="B29" s="45">
        <v>6</v>
      </c>
      <c r="C29" s="137"/>
      <c r="D29" s="141"/>
      <c r="E29" s="137"/>
      <c r="F29" s="137"/>
      <c r="G29" s="138"/>
      <c r="H29" s="139"/>
      <c r="I29" s="144"/>
      <c r="J29" s="85"/>
      <c r="K29" s="83"/>
      <c r="L29" s="237"/>
      <c r="M29" s="238">
        <v>0.5</v>
      </c>
      <c r="N29" s="77"/>
      <c r="O29" s="238">
        <v>1</v>
      </c>
      <c r="P29" s="77"/>
      <c r="Q29" s="238">
        <v>0.5</v>
      </c>
      <c r="R29" s="77"/>
      <c r="S29" s="238">
        <v>0.3</v>
      </c>
      <c r="T29" s="77"/>
      <c r="U29" s="238">
        <v>0.5</v>
      </c>
      <c r="V29" s="77"/>
      <c r="W29" s="239">
        <v>0.5</v>
      </c>
      <c r="X29" s="77"/>
      <c r="Y29" s="239">
        <v>0.5</v>
      </c>
      <c r="Z29" s="77"/>
      <c r="AA29" s="239">
        <v>0.5</v>
      </c>
      <c r="AB29" s="77"/>
      <c r="AC29" s="239">
        <v>1.2</v>
      </c>
      <c r="AD29" s="77"/>
      <c r="AE29" s="239">
        <v>0.3</v>
      </c>
      <c r="AF29" s="77"/>
      <c r="AG29" s="239">
        <v>0.2</v>
      </c>
      <c r="AH29" s="77"/>
      <c r="AI29" s="239">
        <v>1</v>
      </c>
      <c r="AJ29" s="77"/>
      <c r="AK29" s="239">
        <v>1</v>
      </c>
      <c r="AL29" s="240"/>
      <c r="AM29" s="241">
        <v>1</v>
      </c>
      <c r="AN29" s="77"/>
      <c r="AO29" s="92">
        <v>1</v>
      </c>
      <c r="AP29" s="89"/>
      <c r="AQ29" s="92"/>
      <c r="AR29" s="92"/>
      <c r="AS29" s="92"/>
      <c r="AT29" s="44"/>
      <c r="AU29" s="44"/>
      <c r="AV29" s="44"/>
      <c r="AW29" s="44"/>
      <c r="AX29" s="44"/>
      <c r="AY29" s="44"/>
      <c r="AZ29" s="55">
        <f t="shared" si="0"/>
        <v>0</v>
      </c>
      <c r="BA29" s="162"/>
      <c r="BB29" s="163"/>
      <c r="BC29" s="163"/>
      <c r="BD29" s="163"/>
      <c r="BE29" s="164"/>
      <c r="BF29" s="248"/>
      <c r="BI29" t="s">
        <v>13</v>
      </c>
      <c r="BJ29" t="s">
        <v>108</v>
      </c>
      <c r="BK29" t="s">
        <v>109</v>
      </c>
    </row>
    <row r="30" spans="1:63" ht="30.75" customHeight="1" x14ac:dyDescent="0.25">
      <c r="A30" t="s">
        <v>23</v>
      </c>
      <c r="B30" s="45">
        <v>7</v>
      </c>
      <c r="C30" s="137"/>
      <c r="D30" s="138"/>
      <c r="E30" s="137"/>
      <c r="F30" s="137"/>
      <c r="G30" s="138"/>
      <c r="H30" s="139"/>
      <c r="I30" s="144"/>
      <c r="J30" s="85"/>
      <c r="K30" s="83"/>
      <c r="L30" s="237"/>
      <c r="M30" s="238">
        <v>0.5</v>
      </c>
      <c r="N30" s="77"/>
      <c r="O30" s="238">
        <v>1</v>
      </c>
      <c r="P30" s="77"/>
      <c r="Q30" s="238">
        <v>0.5</v>
      </c>
      <c r="R30" s="77"/>
      <c r="S30" s="238">
        <v>0.3</v>
      </c>
      <c r="T30" s="77"/>
      <c r="U30" s="238">
        <v>0.5</v>
      </c>
      <c r="V30" s="77"/>
      <c r="W30" s="239">
        <v>0.5</v>
      </c>
      <c r="X30" s="77"/>
      <c r="Y30" s="239">
        <v>0.5</v>
      </c>
      <c r="Z30" s="77"/>
      <c r="AA30" s="239">
        <v>0.5</v>
      </c>
      <c r="AB30" s="77"/>
      <c r="AC30" s="239">
        <v>1.2</v>
      </c>
      <c r="AD30" s="77"/>
      <c r="AE30" s="239">
        <v>0.3</v>
      </c>
      <c r="AF30" s="77"/>
      <c r="AG30" s="239">
        <v>0.2</v>
      </c>
      <c r="AH30" s="77"/>
      <c r="AI30" s="239">
        <v>1</v>
      </c>
      <c r="AJ30" s="77"/>
      <c r="AK30" s="239">
        <v>1</v>
      </c>
      <c r="AL30" s="240"/>
      <c r="AM30" s="241">
        <v>1</v>
      </c>
      <c r="AN30" s="77"/>
      <c r="AO30" s="92">
        <v>1</v>
      </c>
      <c r="AP30" s="89"/>
      <c r="AQ30" s="92"/>
      <c r="AR30" s="92"/>
      <c r="AS30" s="92"/>
      <c r="AT30" s="44"/>
      <c r="AU30" s="44"/>
      <c r="AV30" s="44"/>
      <c r="AW30" s="44"/>
      <c r="AX30" s="44"/>
      <c r="AY30" s="44"/>
      <c r="AZ30" s="55">
        <f t="shared" si="0"/>
        <v>0</v>
      </c>
      <c r="BA30" s="162"/>
      <c r="BB30" s="163"/>
      <c r="BC30" s="163"/>
      <c r="BD30" s="163"/>
      <c r="BE30" s="164"/>
      <c r="BF30" s="248"/>
    </row>
    <row r="31" spans="1:63" ht="30.75" customHeight="1" x14ac:dyDescent="0.25">
      <c r="A31" t="s">
        <v>23</v>
      </c>
      <c r="B31" s="45">
        <v>8</v>
      </c>
      <c r="C31" s="137"/>
      <c r="D31" s="138"/>
      <c r="E31" s="137"/>
      <c r="F31" s="137"/>
      <c r="G31" s="138"/>
      <c r="H31" s="139"/>
      <c r="I31" s="144"/>
      <c r="J31" s="85"/>
      <c r="K31" s="83"/>
      <c r="L31" s="237"/>
      <c r="M31" s="238">
        <v>0.5</v>
      </c>
      <c r="N31" s="77"/>
      <c r="O31" s="238">
        <v>1</v>
      </c>
      <c r="P31" s="77"/>
      <c r="Q31" s="238">
        <v>0.5</v>
      </c>
      <c r="R31" s="77"/>
      <c r="S31" s="238">
        <v>0.3</v>
      </c>
      <c r="T31" s="77"/>
      <c r="U31" s="238">
        <v>0.5</v>
      </c>
      <c r="V31" s="77"/>
      <c r="W31" s="239">
        <v>0.5</v>
      </c>
      <c r="X31" s="77"/>
      <c r="Y31" s="239">
        <v>0.5</v>
      </c>
      <c r="Z31" s="77"/>
      <c r="AA31" s="239">
        <v>0.5</v>
      </c>
      <c r="AB31" s="77"/>
      <c r="AC31" s="239">
        <v>1.2</v>
      </c>
      <c r="AD31" s="77"/>
      <c r="AE31" s="239">
        <v>0.3</v>
      </c>
      <c r="AF31" s="77"/>
      <c r="AG31" s="239">
        <v>0.2</v>
      </c>
      <c r="AH31" s="77"/>
      <c r="AI31" s="239">
        <v>1</v>
      </c>
      <c r="AJ31" s="77"/>
      <c r="AK31" s="239">
        <v>1</v>
      </c>
      <c r="AL31" s="240"/>
      <c r="AM31" s="241">
        <v>1</v>
      </c>
      <c r="AN31" s="77"/>
      <c r="AO31" s="92">
        <v>1</v>
      </c>
      <c r="AP31" s="89"/>
      <c r="AQ31" s="92"/>
      <c r="AR31" s="92"/>
      <c r="AS31" s="92"/>
      <c r="AT31" s="44"/>
      <c r="AU31" s="44"/>
      <c r="AV31" s="44"/>
      <c r="AW31" s="44"/>
      <c r="AX31" s="44"/>
      <c r="AY31" s="44"/>
      <c r="AZ31" s="55">
        <f t="shared" si="0"/>
        <v>0</v>
      </c>
      <c r="BA31" s="162"/>
      <c r="BB31" s="163"/>
      <c r="BC31" s="163"/>
      <c r="BD31" s="163"/>
      <c r="BE31" s="164"/>
      <c r="BF31" s="248"/>
      <c r="BI31" t="s">
        <v>5</v>
      </c>
      <c r="BJ31" t="s">
        <v>65</v>
      </c>
      <c r="BK31" t="s">
        <v>82</v>
      </c>
    </row>
    <row r="32" spans="1:63" ht="30.75" customHeight="1" x14ac:dyDescent="0.25">
      <c r="A32" t="s">
        <v>23</v>
      </c>
      <c r="B32" s="45">
        <v>9</v>
      </c>
      <c r="C32" s="137"/>
      <c r="D32" s="138"/>
      <c r="E32" s="137"/>
      <c r="F32" s="137"/>
      <c r="G32" s="138"/>
      <c r="H32" s="139"/>
      <c r="I32" s="144"/>
      <c r="J32" s="85"/>
      <c r="K32" s="83"/>
      <c r="L32" s="237"/>
      <c r="M32" s="238">
        <v>0.5</v>
      </c>
      <c r="N32" s="77"/>
      <c r="O32" s="238">
        <v>1</v>
      </c>
      <c r="P32" s="77"/>
      <c r="Q32" s="238">
        <v>0.5</v>
      </c>
      <c r="R32" s="77"/>
      <c r="S32" s="238">
        <v>0.3</v>
      </c>
      <c r="T32" s="77"/>
      <c r="U32" s="238">
        <v>0.5</v>
      </c>
      <c r="V32" s="77"/>
      <c r="W32" s="239">
        <v>0.5</v>
      </c>
      <c r="X32" s="77"/>
      <c r="Y32" s="239">
        <v>0.5</v>
      </c>
      <c r="Z32" s="77"/>
      <c r="AA32" s="239">
        <v>0.5</v>
      </c>
      <c r="AB32" s="77"/>
      <c r="AC32" s="239">
        <v>1.2</v>
      </c>
      <c r="AD32" s="77"/>
      <c r="AE32" s="239">
        <v>0.3</v>
      </c>
      <c r="AF32" s="77"/>
      <c r="AG32" s="239">
        <v>0.2</v>
      </c>
      <c r="AH32" s="77"/>
      <c r="AI32" s="239">
        <v>1</v>
      </c>
      <c r="AJ32" s="77"/>
      <c r="AK32" s="239">
        <v>1</v>
      </c>
      <c r="AL32" s="240"/>
      <c r="AM32" s="241">
        <v>1</v>
      </c>
      <c r="AN32" s="77"/>
      <c r="AO32" s="92">
        <v>1</v>
      </c>
      <c r="AP32" s="89"/>
      <c r="AQ32" s="92"/>
      <c r="AR32" s="92"/>
      <c r="AS32" s="92"/>
      <c r="AT32" s="44"/>
      <c r="AU32" s="44"/>
      <c r="AV32" s="44"/>
      <c r="AW32" s="44"/>
      <c r="AX32" s="44"/>
      <c r="AY32" s="44"/>
      <c r="AZ32" s="55">
        <f t="shared" si="0"/>
        <v>0</v>
      </c>
      <c r="BA32" s="162"/>
      <c r="BB32" s="163"/>
      <c r="BC32" s="163"/>
      <c r="BD32" s="163"/>
      <c r="BE32" s="164"/>
      <c r="BF32" s="248"/>
      <c r="BI32" t="s">
        <v>6</v>
      </c>
      <c r="BJ32" t="s">
        <v>6</v>
      </c>
      <c r="BK32" t="s">
        <v>77</v>
      </c>
    </row>
    <row r="33" spans="1:63" ht="30.75" customHeight="1" x14ac:dyDescent="0.25">
      <c r="A33" t="s">
        <v>23</v>
      </c>
      <c r="B33" s="45">
        <v>10</v>
      </c>
      <c r="C33" s="137"/>
      <c r="D33" s="138"/>
      <c r="E33" s="137"/>
      <c r="F33" s="137"/>
      <c r="G33" s="138"/>
      <c r="H33" s="139"/>
      <c r="I33" s="143"/>
      <c r="J33" s="85"/>
      <c r="K33" s="83"/>
      <c r="L33" s="237"/>
      <c r="M33" s="238">
        <v>0.5</v>
      </c>
      <c r="N33" s="77"/>
      <c r="O33" s="238">
        <v>1</v>
      </c>
      <c r="P33" s="77"/>
      <c r="Q33" s="238">
        <v>0.5</v>
      </c>
      <c r="R33" s="77"/>
      <c r="S33" s="238">
        <v>0.3</v>
      </c>
      <c r="T33" s="77"/>
      <c r="U33" s="238">
        <v>0.5</v>
      </c>
      <c r="V33" s="77"/>
      <c r="W33" s="239">
        <v>0.5</v>
      </c>
      <c r="X33" s="77"/>
      <c r="Y33" s="239">
        <v>0.5</v>
      </c>
      <c r="Z33" s="77"/>
      <c r="AA33" s="239">
        <v>0.5</v>
      </c>
      <c r="AB33" s="77"/>
      <c r="AC33" s="239">
        <v>1.2</v>
      </c>
      <c r="AD33" s="77"/>
      <c r="AE33" s="239">
        <v>0.3</v>
      </c>
      <c r="AF33" s="77"/>
      <c r="AG33" s="239">
        <v>0.2</v>
      </c>
      <c r="AH33" s="77"/>
      <c r="AI33" s="239">
        <v>1</v>
      </c>
      <c r="AJ33" s="77"/>
      <c r="AK33" s="239">
        <v>1</v>
      </c>
      <c r="AL33" s="240"/>
      <c r="AM33" s="241">
        <v>1</v>
      </c>
      <c r="AN33" s="77"/>
      <c r="AO33" s="92">
        <v>1</v>
      </c>
      <c r="AP33" s="89"/>
      <c r="AQ33" s="92"/>
      <c r="AR33" s="92"/>
      <c r="AS33" s="92"/>
      <c r="AT33" s="44"/>
      <c r="AU33" s="44"/>
      <c r="AV33" s="44"/>
      <c r="AW33" s="44"/>
      <c r="AX33" s="44"/>
      <c r="AY33" s="44"/>
      <c r="AZ33" s="55">
        <f t="shared" si="0"/>
        <v>0</v>
      </c>
      <c r="BA33" s="162"/>
      <c r="BB33" s="163"/>
      <c r="BC33" s="163"/>
      <c r="BD33" s="163"/>
      <c r="BE33" s="164"/>
      <c r="BF33" s="248"/>
      <c r="BI33" t="s">
        <v>35</v>
      </c>
      <c r="BJ33" t="s">
        <v>67</v>
      </c>
      <c r="BK33" t="s">
        <v>66</v>
      </c>
    </row>
    <row r="34" spans="1:63" ht="15.75" thickBot="1" x14ac:dyDescent="0.3">
      <c r="B34" s="58" t="str">
        <f ca="1">OFFSET(BI2,25,LEFT(CodeLang,1)-1)</f>
        <v>sous total</v>
      </c>
      <c r="C34" s="48"/>
      <c r="D34" s="48"/>
      <c r="E34" s="48"/>
      <c r="F34" s="48"/>
      <c r="G34" s="48"/>
      <c r="H34" s="48"/>
      <c r="I34" s="48"/>
      <c r="J34" s="48"/>
      <c r="K34" s="29"/>
      <c r="L34" s="86">
        <f t="shared" ref="L34:Q34" si="1">SUM(L24:L33)</f>
        <v>0</v>
      </c>
      <c r="M34" s="40">
        <f t="shared" si="1"/>
        <v>5</v>
      </c>
      <c r="N34" s="40">
        <f t="shared" si="1"/>
        <v>0</v>
      </c>
      <c r="O34" s="40">
        <f t="shared" si="1"/>
        <v>10</v>
      </c>
      <c r="P34" s="40">
        <f t="shared" si="1"/>
        <v>0</v>
      </c>
      <c r="Q34" s="40">
        <f t="shared" si="1"/>
        <v>5</v>
      </c>
      <c r="R34" s="40">
        <f t="shared" ref="R34:AE34" si="2">SUM(R24:R33)</f>
        <v>0</v>
      </c>
      <c r="S34" s="40">
        <f t="shared" ref="S34" si="3">SUM(S24:S33)</f>
        <v>2.9999999999999996</v>
      </c>
      <c r="T34" s="40">
        <f t="shared" si="2"/>
        <v>0</v>
      </c>
      <c r="U34" s="40">
        <f t="shared" si="2"/>
        <v>5</v>
      </c>
      <c r="V34" s="40">
        <f t="shared" ref="V34:Y34" si="4">SUM(V24:V33)</f>
        <v>0</v>
      </c>
      <c r="W34" s="40">
        <f t="shared" si="4"/>
        <v>5</v>
      </c>
      <c r="X34" s="40">
        <f t="shared" si="4"/>
        <v>0</v>
      </c>
      <c r="Y34" s="40">
        <f t="shared" si="4"/>
        <v>5</v>
      </c>
      <c r="Z34" s="40">
        <f t="shared" si="2"/>
        <v>0</v>
      </c>
      <c r="AA34" s="40">
        <f t="shared" si="2"/>
        <v>5</v>
      </c>
      <c r="AB34" s="40">
        <f t="shared" ref="AB34:AC34" si="5">SUM(AB24:AB33)</f>
        <v>0</v>
      </c>
      <c r="AC34" s="40">
        <f t="shared" si="5"/>
        <v>11.999999999999998</v>
      </c>
      <c r="AD34" s="40">
        <f t="shared" si="2"/>
        <v>0</v>
      </c>
      <c r="AE34" s="40">
        <f t="shared" si="2"/>
        <v>2.9999999999999996</v>
      </c>
      <c r="AF34" s="40">
        <f t="shared" ref="AF34:AG34" si="6">SUM(AF24:AF33)</f>
        <v>0</v>
      </c>
      <c r="AG34" s="40">
        <f t="shared" si="6"/>
        <v>1.9999999999999998</v>
      </c>
      <c r="AH34" s="40">
        <f t="shared" ref="AH34:AJ34" si="7">SUM(AH24:AH33)</f>
        <v>0</v>
      </c>
      <c r="AI34" s="40">
        <f t="shared" ref="AI34:AQ34" si="8">SUM(AI24:AI33)</f>
        <v>10</v>
      </c>
      <c r="AJ34" s="40">
        <f t="shared" si="7"/>
        <v>0</v>
      </c>
      <c r="AK34" s="40">
        <f t="shared" si="8"/>
        <v>10</v>
      </c>
      <c r="AL34" s="40">
        <f t="shared" si="8"/>
        <v>0</v>
      </c>
      <c r="AM34" s="40">
        <f t="shared" si="8"/>
        <v>10</v>
      </c>
      <c r="AN34" s="40">
        <f t="shared" si="8"/>
        <v>0</v>
      </c>
      <c r="AO34" s="40">
        <f t="shared" si="8"/>
        <v>10</v>
      </c>
      <c r="AP34" s="40">
        <f t="shared" si="8"/>
        <v>0</v>
      </c>
      <c r="AQ34" s="40">
        <f t="shared" si="8"/>
        <v>0</v>
      </c>
      <c r="AR34" s="116"/>
      <c r="AS34" s="116"/>
      <c r="AT34" s="48"/>
      <c r="AU34" s="48"/>
      <c r="AV34" s="48"/>
      <c r="AW34" s="48"/>
      <c r="AX34" s="48"/>
      <c r="AY34" s="48"/>
      <c r="AZ34" s="56">
        <f t="shared" si="0"/>
        <v>0</v>
      </c>
      <c r="BA34" s="159"/>
      <c r="BB34" s="160"/>
      <c r="BC34" s="160"/>
      <c r="BD34" s="160"/>
      <c r="BE34" s="161"/>
      <c r="BF34" s="67"/>
      <c r="BI34" t="s">
        <v>0</v>
      </c>
      <c r="BJ34" t="s">
        <v>42</v>
      </c>
      <c r="BK34" t="s">
        <v>76</v>
      </c>
    </row>
    <row r="35" spans="1:63" ht="15.75" thickBot="1" x14ac:dyDescent="0.3">
      <c r="B35" s="31" t="str">
        <f ca="1">OFFSET(BI2,26,LEFT(CodeLang,1)-1)</f>
        <v>total</v>
      </c>
      <c r="C35" s="48"/>
      <c r="D35" s="48"/>
      <c r="E35" s="48"/>
      <c r="F35" s="48"/>
      <c r="G35" s="48"/>
      <c r="H35" s="48"/>
      <c r="I35" s="32"/>
      <c r="J35" s="29"/>
      <c r="K35" s="29"/>
      <c r="L35" s="49">
        <f t="shared" ref="L35:AQ35" si="9">L34</f>
        <v>0</v>
      </c>
      <c r="M35" s="49">
        <f t="shared" si="9"/>
        <v>5</v>
      </c>
      <c r="N35" s="49">
        <f t="shared" si="9"/>
        <v>0</v>
      </c>
      <c r="O35" s="49">
        <f t="shared" si="9"/>
        <v>10</v>
      </c>
      <c r="P35" s="49">
        <f t="shared" si="9"/>
        <v>0</v>
      </c>
      <c r="Q35" s="49">
        <f t="shared" si="9"/>
        <v>5</v>
      </c>
      <c r="R35" s="49">
        <f t="shared" si="9"/>
        <v>0</v>
      </c>
      <c r="S35" s="49">
        <f t="shared" si="9"/>
        <v>2.9999999999999996</v>
      </c>
      <c r="T35" s="49">
        <f t="shared" si="9"/>
        <v>0</v>
      </c>
      <c r="U35" s="49">
        <f t="shared" si="9"/>
        <v>5</v>
      </c>
      <c r="V35" s="49">
        <f t="shared" si="9"/>
        <v>0</v>
      </c>
      <c r="W35" s="49">
        <f t="shared" si="9"/>
        <v>5</v>
      </c>
      <c r="X35" s="49">
        <f t="shared" si="9"/>
        <v>0</v>
      </c>
      <c r="Y35" s="49">
        <f t="shared" si="9"/>
        <v>5</v>
      </c>
      <c r="Z35" s="49">
        <f t="shared" si="9"/>
        <v>0</v>
      </c>
      <c r="AA35" s="49">
        <f t="shared" si="9"/>
        <v>5</v>
      </c>
      <c r="AB35" s="49">
        <f t="shared" si="9"/>
        <v>0</v>
      </c>
      <c r="AC35" s="49">
        <f t="shared" si="9"/>
        <v>11.999999999999998</v>
      </c>
      <c r="AD35" s="49">
        <f t="shared" si="9"/>
        <v>0</v>
      </c>
      <c r="AE35" s="49">
        <f t="shared" si="9"/>
        <v>2.9999999999999996</v>
      </c>
      <c r="AF35" s="49">
        <f t="shared" si="9"/>
        <v>0</v>
      </c>
      <c r="AG35" s="49">
        <f t="shared" si="9"/>
        <v>1.9999999999999998</v>
      </c>
      <c r="AH35" s="49">
        <f t="shared" si="9"/>
        <v>0</v>
      </c>
      <c r="AI35" s="49">
        <f t="shared" si="9"/>
        <v>10</v>
      </c>
      <c r="AJ35" s="49">
        <f t="shared" si="9"/>
        <v>0</v>
      </c>
      <c r="AK35" s="49">
        <f t="shared" si="9"/>
        <v>10</v>
      </c>
      <c r="AL35" s="49">
        <f t="shared" si="9"/>
        <v>0</v>
      </c>
      <c r="AM35" s="49">
        <f t="shared" si="9"/>
        <v>10</v>
      </c>
      <c r="AN35" s="49">
        <f t="shared" si="9"/>
        <v>0</v>
      </c>
      <c r="AO35" s="49">
        <f t="shared" si="9"/>
        <v>10</v>
      </c>
      <c r="AP35" s="49">
        <f t="shared" si="9"/>
        <v>0</v>
      </c>
      <c r="AQ35" s="49">
        <f t="shared" si="9"/>
        <v>0</v>
      </c>
      <c r="AR35" s="117"/>
      <c r="AS35" s="117"/>
      <c r="AT35" s="49"/>
      <c r="AU35" s="49"/>
      <c r="AV35" s="49"/>
      <c r="AW35" s="49"/>
      <c r="AX35" s="49"/>
      <c r="AY35" s="49"/>
      <c r="AZ35" s="57">
        <f>AZ34</f>
        <v>0</v>
      </c>
      <c r="BA35" s="159"/>
      <c r="BB35" s="160"/>
      <c r="BC35" s="160"/>
      <c r="BD35" s="160"/>
      <c r="BE35" s="161"/>
      <c r="BF35" s="66"/>
      <c r="BI35" t="s">
        <v>36</v>
      </c>
      <c r="BJ35" t="s">
        <v>68</v>
      </c>
      <c r="BK35" t="s">
        <v>78</v>
      </c>
    </row>
    <row r="36" spans="1:63" x14ac:dyDescent="0.25">
      <c r="BI36" t="s">
        <v>7</v>
      </c>
      <c r="BJ36" t="s">
        <v>70</v>
      </c>
      <c r="BK36" t="s">
        <v>69</v>
      </c>
    </row>
    <row r="37" spans="1:63" ht="15.75" thickBot="1" x14ac:dyDescent="0.3">
      <c r="C37" s="8" t="str">
        <f ca="1">OFFSET(BI2,24,LEFT(CodeLang,1)-1)</f>
        <v>commentaire global</v>
      </c>
      <c r="BI37" t="s">
        <v>37</v>
      </c>
      <c r="BJ37" t="s">
        <v>37</v>
      </c>
      <c r="BK37" t="s">
        <v>37</v>
      </c>
    </row>
    <row r="38" spans="1:63" x14ac:dyDescent="0.25">
      <c r="C38" s="156"/>
      <c r="D38" s="156"/>
      <c r="E38" s="156"/>
      <c r="F38" s="156"/>
      <c r="G38" s="156"/>
      <c r="H38" s="156"/>
      <c r="I38" s="156"/>
      <c r="J38" s="156"/>
      <c r="K38" s="84"/>
      <c r="L38" s="14"/>
      <c r="BI38" t="s">
        <v>11</v>
      </c>
      <c r="BJ38" t="s">
        <v>72</v>
      </c>
      <c r="BK38" t="s">
        <v>71</v>
      </c>
    </row>
    <row r="39" spans="1:63" x14ac:dyDescent="0.25">
      <c r="C39" s="157"/>
      <c r="D39" s="157"/>
      <c r="E39" s="157"/>
      <c r="F39" s="157"/>
      <c r="G39" s="157"/>
      <c r="H39" s="157"/>
      <c r="I39" s="157"/>
      <c r="J39" s="157"/>
      <c r="K39" s="84"/>
      <c r="L39" s="14"/>
      <c r="BI39" t="s">
        <v>18</v>
      </c>
      <c r="BJ39" t="s">
        <v>73</v>
      </c>
      <c r="BK39" t="s">
        <v>74</v>
      </c>
    </row>
    <row r="40" spans="1:63" x14ac:dyDescent="0.25">
      <c r="C40" s="157"/>
      <c r="D40" s="157"/>
      <c r="E40" s="157"/>
      <c r="F40" s="157"/>
      <c r="G40" s="157"/>
      <c r="H40" s="157"/>
      <c r="I40" s="157"/>
      <c r="J40" s="157"/>
      <c r="K40" s="84"/>
      <c r="L40" s="14"/>
      <c r="BI40" t="s">
        <v>107</v>
      </c>
      <c r="BJ40" t="s">
        <v>107</v>
      </c>
      <c r="BK40" t="s">
        <v>107</v>
      </c>
    </row>
    <row r="41" spans="1:63" x14ac:dyDescent="0.25">
      <c r="C41" s="157"/>
      <c r="D41" s="157"/>
      <c r="E41" s="157"/>
      <c r="F41" s="157"/>
      <c r="G41" s="157"/>
      <c r="H41" s="157"/>
      <c r="I41" s="157"/>
      <c r="J41" s="157"/>
      <c r="K41" s="84"/>
      <c r="L41" s="14"/>
    </row>
    <row r="42" spans="1:63" x14ac:dyDescent="0.25">
      <c r="C42" s="157"/>
      <c r="D42" s="157"/>
      <c r="E42" s="157"/>
      <c r="F42" s="157"/>
      <c r="G42" s="157"/>
      <c r="H42" s="157"/>
      <c r="I42" s="157"/>
      <c r="J42" s="157"/>
      <c r="K42" s="84"/>
      <c r="L42" s="14"/>
    </row>
    <row r="43" spans="1:63" x14ac:dyDescent="0.25">
      <c r="C43" s="157"/>
      <c r="D43" s="157"/>
      <c r="E43" s="157"/>
      <c r="F43" s="157"/>
      <c r="G43" s="157"/>
      <c r="H43" s="157"/>
      <c r="I43" s="157"/>
      <c r="J43" s="157"/>
      <c r="K43" s="84"/>
      <c r="L43" s="14"/>
    </row>
    <row r="44" spans="1:63" x14ac:dyDescent="0.25">
      <c r="C44" s="157"/>
      <c r="D44" s="157"/>
      <c r="E44" s="157"/>
      <c r="F44" s="157"/>
      <c r="G44" s="157"/>
      <c r="H44" s="157"/>
      <c r="I44" s="157"/>
      <c r="J44" s="157"/>
      <c r="K44" s="84"/>
      <c r="L44" s="14"/>
      <c r="BI44" s="61" t="s">
        <v>110</v>
      </c>
      <c r="BJ44" t="s">
        <v>202</v>
      </c>
      <c r="BK44" t="s">
        <v>299</v>
      </c>
    </row>
    <row r="45" spans="1:63" x14ac:dyDescent="0.25">
      <c r="C45" s="157"/>
      <c r="D45" s="157"/>
      <c r="E45" s="157"/>
      <c r="F45" s="157"/>
      <c r="G45" s="157"/>
      <c r="H45" s="157"/>
      <c r="I45" s="157"/>
      <c r="J45" s="157"/>
      <c r="K45" s="84"/>
      <c r="L45" s="14"/>
      <c r="BI45" s="62" t="s">
        <v>111</v>
      </c>
      <c r="BJ45" t="s">
        <v>203</v>
      </c>
      <c r="BK45" t="s">
        <v>300</v>
      </c>
    </row>
    <row r="46" spans="1:63" x14ac:dyDescent="0.25">
      <c r="C46" s="157"/>
      <c r="D46" s="157"/>
      <c r="E46" s="157"/>
      <c r="F46" s="157"/>
      <c r="G46" s="157"/>
      <c r="H46" s="157"/>
      <c r="I46" s="157"/>
      <c r="J46" s="157"/>
      <c r="K46" s="84"/>
      <c r="L46" s="14"/>
      <c r="BI46" s="62" t="s">
        <v>112</v>
      </c>
      <c r="BJ46" t="s">
        <v>204</v>
      </c>
      <c r="BK46" t="s">
        <v>302</v>
      </c>
    </row>
    <row r="47" spans="1:63" x14ac:dyDescent="0.25">
      <c r="C47" s="157"/>
      <c r="D47" s="157"/>
      <c r="E47" s="157"/>
      <c r="F47" s="157"/>
      <c r="G47" s="157"/>
      <c r="H47" s="157"/>
      <c r="I47" s="157"/>
      <c r="J47" s="157"/>
      <c r="K47" s="84"/>
      <c r="L47" s="14"/>
      <c r="BI47" t="s">
        <v>113</v>
      </c>
      <c r="BJ47" t="s">
        <v>205</v>
      </c>
      <c r="BK47" t="s">
        <v>301</v>
      </c>
    </row>
    <row r="48" spans="1:63" ht="15.75" thickBot="1" x14ac:dyDescent="0.3">
      <c r="C48" s="158"/>
      <c r="D48" s="158"/>
      <c r="E48" s="158"/>
      <c r="F48" s="158"/>
      <c r="G48" s="158"/>
      <c r="H48" s="158"/>
      <c r="I48" s="158"/>
      <c r="J48" s="158"/>
      <c r="K48" s="84"/>
      <c r="L48" s="14"/>
    </row>
    <row r="52" spans="61:63" x14ac:dyDescent="0.25">
      <c r="BI52" t="s">
        <v>128</v>
      </c>
      <c r="BJ52" t="s">
        <v>206</v>
      </c>
      <c r="BK52" t="s">
        <v>303</v>
      </c>
    </row>
    <row r="53" spans="61:63" x14ac:dyDescent="0.25">
      <c r="BI53" t="s">
        <v>114</v>
      </c>
      <c r="BJ53" t="s">
        <v>114</v>
      </c>
      <c r="BK53" t="s">
        <v>304</v>
      </c>
    </row>
    <row r="54" spans="61:63" x14ac:dyDescent="0.25">
      <c r="BI54" t="s">
        <v>16</v>
      </c>
      <c r="BJ54" t="s">
        <v>207</v>
      </c>
      <c r="BK54" t="s">
        <v>305</v>
      </c>
    </row>
    <row r="55" spans="61:63" x14ac:dyDescent="0.25">
      <c r="BI55" t="s">
        <v>146</v>
      </c>
      <c r="BJ55" t="s">
        <v>208</v>
      </c>
      <c r="BK55" t="s">
        <v>306</v>
      </c>
    </row>
    <row r="56" spans="61:63" x14ac:dyDescent="0.25">
      <c r="BI56" t="s">
        <v>115</v>
      </c>
      <c r="BJ56" t="s">
        <v>209</v>
      </c>
      <c r="BK56" t="s">
        <v>307</v>
      </c>
    </row>
    <row r="57" spans="61:63" x14ac:dyDescent="0.25">
      <c r="BI57" t="s">
        <v>15</v>
      </c>
      <c r="BJ57" t="s">
        <v>210</v>
      </c>
      <c r="BK57" t="s">
        <v>308</v>
      </c>
    </row>
    <row r="58" spans="61:63" x14ac:dyDescent="0.25">
      <c r="BI58" t="s">
        <v>116</v>
      </c>
      <c r="BJ58" t="s">
        <v>211</v>
      </c>
      <c r="BK58" t="s">
        <v>309</v>
      </c>
    </row>
    <row r="59" spans="61:63" x14ac:dyDescent="0.25">
      <c r="BI59" t="s">
        <v>117</v>
      </c>
      <c r="BJ59" t="s">
        <v>212</v>
      </c>
      <c r="BK59" t="s">
        <v>310</v>
      </c>
    </row>
    <row r="60" spans="61:63" x14ac:dyDescent="0.25">
      <c r="BI60" t="s">
        <v>118</v>
      </c>
      <c r="BJ60" t="s">
        <v>213</v>
      </c>
      <c r="BK60" t="s">
        <v>311</v>
      </c>
    </row>
    <row r="61" spans="61:63" x14ac:dyDescent="0.25">
      <c r="BI61" t="s">
        <v>119</v>
      </c>
      <c r="BJ61" t="s">
        <v>214</v>
      </c>
      <c r="BK61" t="s">
        <v>312</v>
      </c>
    </row>
    <row r="62" spans="61:63" x14ac:dyDescent="0.25">
      <c r="BI62" t="s">
        <v>120</v>
      </c>
      <c r="BJ62" t="s">
        <v>215</v>
      </c>
      <c r="BK62" t="s">
        <v>313</v>
      </c>
    </row>
    <row r="63" spans="61:63" x14ac:dyDescent="0.25">
      <c r="BI63" t="s">
        <v>121</v>
      </c>
      <c r="BJ63" t="s">
        <v>216</v>
      </c>
      <c r="BK63" t="s">
        <v>314</v>
      </c>
    </row>
    <row r="64" spans="61:63" x14ac:dyDescent="0.25">
      <c r="BI64" t="s">
        <v>122</v>
      </c>
      <c r="BJ64" t="s">
        <v>217</v>
      </c>
      <c r="BK64" t="s">
        <v>315</v>
      </c>
    </row>
    <row r="65" spans="61:63" x14ac:dyDescent="0.25">
      <c r="BI65" t="s">
        <v>123</v>
      </c>
      <c r="BJ65" t="s">
        <v>218</v>
      </c>
      <c r="BK65" t="s">
        <v>316</v>
      </c>
    </row>
    <row r="66" spans="61:63" x14ac:dyDescent="0.25">
      <c r="BI66" t="s">
        <v>124</v>
      </c>
      <c r="BJ66" t="s">
        <v>219</v>
      </c>
      <c r="BK66" t="s">
        <v>367</v>
      </c>
    </row>
  </sheetData>
  <mergeCells count="38">
    <mergeCell ref="AN22:AO22"/>
    <mergeCell ref="AX21:AY21"/>
    <mergeCell ref="AR21:AS21"/>
    <mergeCell ref="AT21:AU21"/>
    <mergeCell ref="AV21:AW21"/>
    <mergeCell ref="AL21:AO21"/>
    <mergeCell ref="AL22:AM22"/>
    <mergeCell ref="AH21:AK21"/>
    <mergeCell ref="P22:Q22"/>
    <mergeCell ref="R22:S22"/>
    <mergeCell ref="AH22:AI22"/>
    <mergeCell ref="AJ22:AK22"/>
    <mergeCell ref="L21:Y21"/>
    <mergeCell ref="T22:U22"/>
    <mergeCell ref="V22:W22"/>
    <mergeCell ref="X22:Y22"/>
    <mergeCell ref="L22:M22"/>
    <mergeCell ref="N22:O22"/>
    <mergeCell ref="Z22:AA22"/>
    <mergeCell ref="AB22:AC22"/>
    <mergeCell ref="AD22:AE22"/>
    <mergeCell ref="AF22:AG22"/>
    <mergeCell ref="Z21:AG21"/>
    <mergeCell ref="BA33:BE33"/>
    <mergeCell ref="C38:J48"/>
    <mergeCell ref="BA35:BE35"/>
    <mergeCell ref="BA34:BE34"/>
    <mergeCell ref="BA27:BE27"/>
    <mergeCell ref="BA28:BE28"/>
    <mergeCell ref="BA29:BE29"/>
    <mergeCell ref="BA30:BE30"/>
    <mergeCell ref="BA31:BE31"/>
    <mergeCell ref="BA32:BE32"/>
    <mergeCell ref="BF21:BF23"/>
    <mergeCell ref="BA21:BE23"/>
    <mergeCell ref="BA24:BE24"/>
    <mergeCell ref="BA25:BE25"/>
    <mergeCell ref="BA26:BE26"/>
  </mergeCells>
  <dataValidations count="2">
    <dataValidation type="date" operator="greaterThan" showInputMessage="1" showErrorMessage="1" errorTitle="Erreur" error="Date non valide" sqref="D7" xr:uid="{C4E9CB8F-65C9-4195-A628-67205129F5F0}">
      <formula1>TODAY()-100</formula1>
    </dataValidation>
    <dataValidation type="date" operator="greaterThan" allowBlank="1" showInputMessage="1" showErrorMessage="1" errorTitle="Erreur" error="Date non valide" sqref="D11" xr:uid="{D5FE90EF-E141-4B3D-B976-CF70F10BB148}">
      <formula1>TODAY()-100</formula1>
    </dataValidation>
  </dataValidations>
  <pageMargins left="0.7" right="0.7" top="0.75" bottom="0.75" header="0.3" footer="0.3"/>
  <pageSetup paperSize="9" orientation="portrait" horizontalDpi="4294967295" verticalDpi="4294967295" r:id="rId1"/>
  <drawing r:id="rId2"/>
  <extLst>
    <ext xmlns:x14="http://schemas.microsoft.com/office/spreadsheetml/2009/9/main" uri="{CCE6A557-97BC-4b89-ADB6-D9C93CAAB3DF}">
      <x14:dataValidations xmlns:xm="http://schemas.microsoft.com/office/excel/2006/main" count="12">
        <x14:dataValidation type="list" allowBlank="1" showInputMessage="1" showErrorMessage="1" errorTitle="Erreur" error="Valeur non numérique ou non valide." xr:uid="{0CFAE2FC-4011-414B-A425-63C299C10E42}">
          <x14:formula1>
            <xm:f>Référentiel!$F$2:$F$4</xm:f>
          </x14:formula1>
          <xm:sqref>AJ24:AJ33 N24:N33</xm:sqref>
        </x14:dataValidation>
        <x14:dataValidation type="list" allowBlank="1" showInputMessage="1" showErrorMessage="1" errorTitle="Code pays" error="Code pays sur 2 lettres." promptTitle="Pays" xr:uid="{87431278-11E9-44AE-B8A1-5F6F10AF559B}">
          <x14:formula1>
            <xm:f>Référentiel!$B$2:$B$100</xm:f>
          </x14:formula1>
          <xm:sqref>D4</xm:sqref>
        </x14:dataValidation>
        <x14:dataValidation type="list" allowBlank="1" showInputMessage="1" showErrorMessage="1" xr:uid="{2FEC469B-8850-4102-9480-48D77A4DF472}">
          <x14:formula1>
            <xm:f>Référentiel!$A$2:$A$100</xm:f>
          </x14:formula1>
          <xm:sqref>D5</xm:sqref>
        </x14:dataValidation>
        <x14:dataValidation type="list" allowBlank="1" showInputMessage="1" showErrorMessage="1" xr:uid="{5D17F248-ABA5-4C19-A3F1-575BC9DE96CE}">
          <x14:formula1>
            <xm:f>Référentiel!$C$2:$C$100</xm:f>
          </x14:formula1>
          <xm:sqref>D6</xm:sqref>
        </x14:dataValidation>
        <x14:dataValidation type="list" allowBlank="1" showInputMessage="1" showErrorMessage="1" errorTitle="Erreur" error="Valeur non numérique ou non valide." xr:uid="{63FB2B9A-9B59-471A-AD3A-8E94B6A18843}">
          <x14:formula1>
            <xm:f>Référentiel!$E$2:$E$4</xm:f>
          </x14:formula1>
          <xm:sqref>L24:L33 P24:P33 T24:T33</xm:sqref>
        </x14:dataValidation>
        <x14:dataValidation type="list" allowBlank="1" showInputMessage="1" showErrorMessage="1" errorTitle="Erreur" error="Valeur non numérique ou non valide." xr:uid="{DB8ACFCA-D1D2-4BC9-83BF-4BEC005956D5}">
          <x14:formula1>
            <xm:f>Référentiel!$G$2:$G$3</xm:f>
          </x14:formula1>
          <xm:sqref>R24:R33 AD24:AD33</xm:sqref>
        </x14:dataValidation>
        <x14:dataValidation type="list" allowBlank="1" showInputMessage="1" showErrorMessage="1" errorTitle="Erreur" error="Valeur non numérique ou non valide." xr:uid="{4C63E2EC-4419-490A-8CCC-388C9405F4B4}">
          <x14:formula1>
            <xm:f>Référentiel!$H$2:$H$3</xm:f>
          </x14:formula1>
          <xm:sqref>V24:V33 Z24:Z33</xm:sqref>
        </x14:dataValidation>
        <x14:dataValidation type="list" allowBlank="1" showInputMessage="1" showErrorMessage="1" errorTitle="Erreur" error="Valeur non numérique ou non valide." xr:uid="{B5862CF7-3E0D-4A0C-885D-31A49818873A}">
          <x14:formula1>
            <xm:f>Référentiel!$I$2:$I$4</xm:f>
          </x14:formula1>
          <xm:sqref>AB24:AB33</xm:sqref>
        </x14:dataValidation>
        <x14:dataValidation type="list" allowBlank="1" showInputMessage="1" showErrorMessage="1" errorTitle="Erreur" error="Valeur non numérique ou non valide." xr:uid="{F94ED7AB-3857-463D-A6D3-9869820EB700}">
          <x14:formula1>
            <xm:f>Référentiel!$L$2:$L$4</xm:f>
          </x14:formula1>
          <xm:sqref>AF24:AF33</xm:sqref>
        </x14:dataValidation>
        <x14:dataValidation type="list" allowBlank="1" showInputMessage="1" showErrorMessage="1" xr:uid="{C8CA22F7-6E2B-4C7E-BAC7-453F653EBB01}">
          <x14:formula1>
            <xm:f>Référentiel!$F$2:$F$4</xm:f>
          </x14:formula1>
          <xm:sqref>AL24:AL33 AN24:AN33 AP24:AP33 AH24:AH33</xm:sqref>
        </x14:dataValidation>
        <x14:dataValidation type="list" allowBlank="1" showInputMessage="1" showErrorMessage="1" errorTitle="Erreur" error="Valeur non numérique ou non valide." xr:uid="{2D6F3050-4332-4D0D-B193-534E8CD1A1B3}">
          <x14:formula1>
            <xm:f>Référentiel!$K$2:$K$4</xm:f>
          </x14:formula1>
          <xm:sqref>X24:X33</xm:sqref>
        </x14:dataValidation>
        <x14:dataValidation type="list" allowBlank="1" showInputMessage="1" showErrorMessage="1" xr:uid="{A39846FF-A095-4EDF-B981-5EC58CD28BE8}">
          <x14:formula1>
            <xm:f>Référentiel!$D$2:$D$3</xm:f>
          </x14:formula1>
          <xm:sqref>I24:I33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DF4D3-95AA-46ED-B1B8-79D2E6EFAE6D}">
  <dimension ref="A2:L13"/>
  <sheetViews>
    <sheetView workbookViewId="0">
      <selection activeCell="C11" sqref="C11"/>
    </sheetView>
  </sheetViews>
  <sheetFormatPr defaultColWidth="11.42578125" defaultRowHeight="15" x14ac:dyDescent="0.25"/>
  <cols>
    <col min="3" max="3" width="19.7109375" customWidth="1"/>
  </cols>
  <sheetData>
    <row r="2" spans="1:12" x14ac:dyDescent="0.25">
      <c r="A2" t="s">
        <v>86</v>
      </c>
      <c r="B2" t="s">
        <v>91</v>
      </c>
      <c r="C2" t="s">
        <v>97</v>
      </c>
      <c r="D2" t="s">
        <v>100</v>
      </c>
      <c r="E2">
        <v>0.5</v>
      </c>
      <c r="F2">
        <v>1</v>
      </c>
      <c r="G2">
        <v>0.3</v>
      </c>
      <c r="H2">
        <v>0.5</v>
      </c>
      <c r="I2">
        <v>1.2</v>
      </c>
      <c r="J2">
        <v>0.2</v>
      </c>
      <c r="K2">
        <v>0.5</v>
      </c>
      <c r="L2">
        <v>0.2</v>
      </c>
    </row>
    <row r="3" spans="1:12" x14ac:dyDescent="0.25">
      <c r="A3" t="s">
        <v>83</v>
      </c>
      <c r="B3" t="s">
        <v>90</v>
      </c>
      <c r="C3" t="s">
        <v>383</v>
      </c>
      <c r="D3" t="s">
        <v>101</v>
      </c>
      <c r="E3">
        <v>0.2</v>
      </c>
      <c r="F3">
        <v>0.5</v>
      </c>
      <c r="G3">
        <v>0</v>
      </c>
      <c r="H3">
        <v>0</v>
      </c>
      <c r="I3">
        <v>0.6</v>
      </c>
      <c r="J3">
        <v>0</v>
      </c>
      <c r="K3">
        <v>0</v>
      </c>
      <c r="L3">
        <v>0.1</v>
      </c>
    </row>
    <row r="4" spans="1:12" x14ac:dyDescent="0.25">
      <c r="A4" t="s">
        <v>83</v>
      </c>
      <c r="B4" t="s">
        <v>106</v>
      </c>
      <c r="C4" t="s">
        <v>98</v>
      </c>
      <c r="E4">
        <v>0</v>
      </c>
      <c r="F4">
        <v>0</v>
      </c>
      <c r="I4">
        <v>0</v>
      </c>
      <c r="K4">
        <v>0.25</v>
      </c>
      <c r="L4">
        <v>0</v>
      </c>
    </row>
    <row r="5" spans="1:12" x14ac:dyDescent="0.25">
      <c r="A5" t="s">
        <v>87</v>
      </c>
      <c r="B5" t="s">
        <v>92</v>
      </c>
      <c r="C5" t="s">
        <v>105</v>
      </c>
    </row>
    <row r="6" spans="1:12" x14ac:dyDescent="0.25">
      <c r="A6" t="s">
        <v>84</v>
      </c>
      <c r="B6" t="s">
        <v>93</v>
      </c>
      <c r="C6" t="s">
        <v>99</v>
      </c>
    </row>
    <row r="7" spans="1:12" x14ac:dyDescent="0.25">
      <c r="A7" t="s">
        <v>103</v>
      </c>
      <c r="B7" t="s">
        <v>26</v>
      </c>
      <c r="C7" t="s">
        <v>412</v>
      </c>
    </row>
    <row r="8" spans="1:12" x14ac:dyDescent="0.25">
      <c r="A8" t="s">
        <v>85</v>
      </c>
      <c r="B8" t="s">
        <v>24</v>
      </c>
      <c r="C8" t="s">
        <v>102</v>
      </c>
    </row>
    <row r="9" spans="1:12" x14ac:dyDescent="0.25">
      <c r="A9" t="s">
        <v>88</v>
      </c>
      <c r="B9" t="s">
        <v>25</v>
      </c>
      <c r="C9" t="s">
        <v>407</v>
      </c>
    </row>
    <row r="10" spans="1:12" x14ac:dyDescent="0.25">
      <c r="A10" t="s">
        <v>89</v>
      </c>
      <c r="B10" t="s">
        <v>104</v>
      </c>
      <c r="C10" t="s">
        <v>408</v>
      </c>
    </row>
    <row r="11" spans="1:12" x14ac:dyDescent="0.25">
      <c r="B11" t="s">
        <v>94</v>
      </c>
      <c r="C11" t="s">
        <v>413</v>
      </c>
    </row>
    <row r="12" spans="1:12" x14ac:dyDescent="0.25">
      <c r="B12" t="s">
        <v>95</v>
      </c>
    </row>
    <row r="13" spans="1:12" x14ac:dyDescent="0.25">
      <c r="B13" t="s">
        <v>96</v>
      </c>
    </row>
  </sheetData>
  <sortState xmlns:xlrd2="http://schemas.microsoft.com/office/spreadsheetml/2017/richdata2" ref="C2:C18">
    <sortCondition ref="C1:C18"/>
  </sortState>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9DD92-F9E6-40FB-AC78-AFB487801CD3}">
  <dimension ref="B2:G110"/>
  <sheetViews>
    <sheetView topLeftCell="A65" zoomScale="85" zoomScaleNormal="85" workbookViewId="0">
      <selection activeCell="B68" sqref="B68:C68"/>
    </sheetView>
  </sheetViews>
  <sheetFormatPr defaultColWidth="11.42578125" defaultRowHeight="15" x14ac:dyDescent="0.25"/>
  <cols>
    <col min="3" max="3" width="98.140625" customWidth="1"/>
    <col min="4" max="4" width="18.42578125" customWidth="1"/>
    <col min="5" max="5" width="16.85546875" customWidth="1"/>
    <col min="6" max="6" width="11.42578125" customWidth="1"/>
    <col min="7" max="7" width="11.42578125" hidden="1" customWidth="1"/>
  </cols>
  <sheetData>
    <row r="2" spans="2:7" ht="23.25" x14ac:dyDescent="0.35">
      <c r="C2" s="93" t="s">
        <v>125</v>
      </c>
    </row>
    <row r="4" spans="2:7" x14ac:dyDescent="0.25">
      <c r="B4" s="215" t="s">
        <v>126</v>
      </c>
      <c r="C4" s="215"/>
      <c r="D4" s="215"/>
      <c r="E4" s="215"/>
    </row>
    <row r="6" spans="2:7" x14ac:dyDescent="0.25">
      <c r="B6" s="187" t="s">
        <v>127</v>
      </c>
      <c r="C6" s="187"/>
      <c r="D6" s="187"/>
      <c r="E6" s="187"/>
    </row>
    <row r="7" spans="2:7" x14ac:dyDescent="0.25">
      <c r="B7" s="94"/>
      <c r="C7" s="94"/>
      <c r="D7" s="94"/>
      <c r="E7" s="94"/>
    </row>
    <row r="8" spans="2:7" ht="30.75" customHeight="1" thickBot="1" x14ac:dyDescent="0.3">
      <c r="B8" s="95" t="s">
        <v>128</v>
      </c>
      <c r="C8" s="96"/>
      <c r="D8" s="97" t="s">
        <v>129</v>
      </c>
      <c r="E8" s="98" t="s">
        <v>130</v>
      </c>
      <c r="F8" s="112" t="s">
        <v>194</v>
      </c>
      <c r="G8" s="113" t="s">
        <v>195</v>
      </c>
    </row>
    <row r="9" spans="2:7" ht="42.75" customHeight="1" thickBot="1" x14ac:dyDescent="0.3">
      <c r="B9" s="216" t="s">
        <v>131</v>
      </c>
      <c r="C9" s="217"/>
      <c r="D9" s="99" t="s">
        <v>132</v>
      </c>
      <c r="E9" s="99">
        <v>0.5</v>
      </c>
      <c r="F9" s="5">
        <v>5</v>
      </c>
    </row>
    <row r="10" spans="2:7" ht="52.5" customHeight="1" thickBot="1" x14ac:dyDescent="0.3">
      <c r="B10" s="218" t="s">
        <v>133</v>
      </c>
      <c r="C10" s="219"/>
      <c r="D10" s="100" t="s">
        <v>134</v>
      </c>
      <c r="E10" s="100">
        <v>0.2</v>
      </c>
      <c r="F10" s="5">
        <v>2</v>
      </c>
    </row>
    <row r="11" spans="2:7" ht="18" thickBot="1" x14ac:dyDescent="0.3">
      <c r="B11" s="201" t="s">
        <v>135</v>
      </c>
      <c r="C11" s="202"/>
      <c r="D11" s="101" t="s">
        <v>136</v>
      </c>
      <c r="E11" s="101">
        <v>0</v>
      </c>
      <c r="F11" s="114">
        <v>0</v>
      </c>
    </row>
    <row r="12" spans="2:7" ht="19.5" customHeight="1" thickBot="1" x14ac:dyDescent="0.3">
      <c r="B12" s="197" t="s">
        <v>137</v>
      </c>
      <c r="C12" s="198"/>
      <c r="D12" s="102" t="s">
        <v>138</v>
      </c>
      <c r="E12" s="102" t="s">
        <v>139</v>
      </c>
      <c r="F12" s="114">
        <v>-100</v>
      </c>
    </row>
    <row r="13" spans="2:7" ht="16.5" x14ac:dyDescent="0.3">
      <c r="B13" s="103"/>
      <c r="C13" s="104"/>
      <c r="D13" s="105"/>
      <c r="E13" s="105"/>
    </row>
    <row r="14" spans="2:7" ht="16.5" thickBot="1" x14ac:dyDescent="0.3">
      <c r="B14" s="184" t="s">
        <v>114</v>
      </c>
      <c r="C14" s="184"/>
      <c r="D14" s="106" t="s">
        <v>129</v>
      </c>
      <c r="E14" s="106" t="s">
        <v>140</v>
      </c>
    </row>
    <row r="15" spans="2:7" ht="91.5" customHeight="1" thickBot="1" x14ac:dyDescent="0.3">
      <c r="B15" s="206" t="s">
        <v>385</v>
      </c>
      <c r="C15" s="193"/>
      <c r="D15" s="99" t="s">
        <v>132</v>
      </c>
      <c r="E15" s="99">
        <v>1</v>
      </c>
      <c r="F15" s="114">
        <v>10</v>
      </c>
    </row>
    <row r="16" spans="2:7" ht="104.25" customHeight="1" thickBot="1" x14ac:dyDescent="0.3">
      <c r="B16" s="181" t="s">
        <v>386</v>
      </c>
      <c r="C16" s="178"/>
      <c r="D16" s="100" t="s">
        <v>134</v>
      </c>
      <c r="E16" s="100">
        <v>0.5</v>
      </c>
      <c r="F16" s="5">
        <v>5</v>
      </c>
    </row>
    <row r="17" spans="2:6" ht="66" customHeight="1" thickBot="1" x14ac:dyDescent="0.3">
      <c r="B17" s="191" t="s">
        <v>387</v>
      </c>
      <c r="C17" s="183"/>
      <c r="D17" s="102" t="s">
        <v>138</v>
      </c>
      <c r="E17" s="102" t="s">
        <v>139</v>
      </c>
      <c r="F17" s="114">
        <v>-100</v>
      </c>
    </row>
    <row r="19" spans="2:6" ht="16.5" thickBot="1" x14ac:dyDescent="0.3">
      <c r="B19" s="184" t="s">
        <v>141</v>
      </c>
      <c r="C19" s="184"/>
      <c r="D19" s="106" t="s">
        <v>129</v>
      </c>
      <c r="E19" s="106" t="s">
        <v>140</v>
      </c>
    </row>
    <row r="20" spans="2:6" ht="54.75" customHeight="1" thickBot="1" x14ac:dyDescent="0.3">
      <c r="B20" s="207" t="s">
        <v>142</v>
      </c>
      <c r="C20" s="208"/>
      <c r="D20" s="99" t="s">
        <v>132</v>
      </c>
      <c r="E20" s="99">
        <v>0.5</v>
      </c>
      <c r="F20" s="114">
        <v>5</v>
      </c>
    </row>
    <row r="21" spans="2:6" ht="35.25" thickBot="1" x14ac:dyDescent="0.3">
      <c r="B21" s="209" t="s">
        <v>143</v>
      </c>
      <c r="C21" s="210"/>
      <c r="D21" s="100" t="s">
        <v>134</v>
      </c>
      <c r="E21" s="100">
        <v>0.2</v>
      </c>
      <c r="F21" s="5">
        <v>2</v>
      </c>
    </row>
    <row r="22" spans="2:6" ht="18" thickBot="1" x14ac:dyDescent="0.3">
      <c r="B22" s="211" t="s">
        <v>144</v>
      </c>
      <c r="C22" s="212"/>
      <c r="D22" s="101" t="s">
        <v>136</v>
      </c>
      <c r="E22" s="101">
        <v>0</v>
      </c>
      <c r="F22" s="5">
        <v>0</v>
      </c>
    </row>
    <row r="23" spans="2:6" ht="18" thickBot="1" x14ac:dyDescent="0.3">
      <c r="B23" s="182" t="s">
        <v>145</v>
      </c>
      <c r="C23" s="188"/>
      <c r="D23" s="107" t="s">
        <v>138</v>
      </c>
      <c r="E23" s="107" t="s">
        <v>139</v>
      </c>
      <c r="F23" s="114">
        <v>-100</v>
      </c>
    </row>
    <row r="25" spans="2:6" ht="16.5" thickBot="1" x14ac:dyDescent="0.3">
      <c r="B25" s="213" t="s">
        <v>146</v>
      </c>
      <c r="C25" s="213"/>
      <c r="D25" s="106" t="s">
        <v>129</v>
      </c>
      <c r="E25" s="106" t="s">
        <v>140</v>
      </c>
    </row>
    <row r="26" spans="2:6" ht="42.75" customHeight="1" thickBot="1" x14ac:dyDescent="0.3">
      <c r="B26" s="204" t="s">
        <v>148</v>
      </c>
      <c r="C26" s="205"/>
      <c r="D26" s="99" t="s">
        <v>149</v>
      </c>
      <c r="E26" s="99">
        <v>0.3</v>
      </c>
      <c r="F26" s="5">
        <v>5</v>
      </c>
    </row>
    <row r="27" spans="2:6" ht="40.5" customHeight="1" thickBot="1" x14ac:dyDescent="0.3">
      <c r="B27" s="201" t="s">
        <v>198</v>
      </c>
      <c r="C27" s="202"/>
      <c r="D27" s="101" t="s">
        <v>150</v>
      </c>
      <c r="E27" s="101">
        <v>0</v>
      </c>
      <c r="F27" s="5">
        <v>0</v>
      </c>
    </row>
    <row r="28" spans="2:6" ht="34.5" customHeight="1" thickBot="1" x14ac:dyDescent="0.3">
      <c r="B28" s="182" t="s">
        <v>151</v>
      </c>
      <c r="C28" s="183"/>
      <c r="D28" s="102" t="s">
        <v>138</v>
      </c>
      <c r="E28" s="102" t="s">
        <v>139</v>
      </c>
      <c r="F28" s="5">
        <v>-100</v>
      </c>
    </row>
    <row r="30" spans="2:6" ht="15.75" customHeight="1" thickBot="1" x14ac:dyDescent="0.3">
      <c r="B30" s="184" t="s">
        <v>152</v>
      </c>
      <c r="C30" s="184"/>
      <c r="D30" s="106" t="s">
        <v>129</v>
      </c>
      <c r="E30" s="106" t="s">
        <v>140</v>
      </c>
    </row>
    <row r="31" spans="2:6" ht="63" customHeight="1" thickBot="1" x14ac:dyDescent="0.3">
      <c r="B31" s="185" t="s">
        <v>199</v>
      </c>
      <c r="C31" s="186"/>
      <c r="D31" s="99" t="s">
        <v>153</v>
      </c>
      <c r="E31" s="99">
        <v>0.5</v>
      </c>
      <c r="F31" s="5">
        <v>5</v>
      </c>
    </row>
    <row r="32" spans="2:6" ht="50.25" customHeight="1" thickBot="1" x14ac:dyDescent="0.3">
      <c r="B32" s="177" t="s">
        <v>154</v>
      </c>
      <c r="C32" s="178"/>
      <c r="D32" s="100" t="s">
        <v>134</v>
      </c>
      <c r="E32" s="100">
        <v>0.2</v>
      </c>
      <c r="F32" s="5">
        <v>2</v>
      </c>
    </row>
    <row r="33" spans="2:6" ht="33.75" customHeight="1" thickBot="1" x14ac:dyDescent="0.3">
      <c r="B33" s="179" t="s">
        <v>155</v>
      </c>
      <c r="C33" s="180"/>
      <c r="D33" s="101" t="s">
        <v>156</v>
      </c>
      <c r="E33" s="101">
        <v>0</v>
      </c>
      <c r="F33" s="5">
        <v>0</v>
      </c>
    </row>
    <row r="35" spans="2:6" ht="16.5" thickBot="1" x14ac:dyDescent="0.3">
      <c r="B35" s="184" t="s">
        <v>157</v>
      </c>
      <c r="C35" s="184"/>
      <c r="D35" s="106" t="s">
        <v>129</v>
      </c>
      <c r="E35" s="106" t="s">
        <v>140</v>
      </c>
    </row>
    <row r="36" spans="2:6" ht="63" customHeight="1" thickBot="1" x14ac:dyDescent="0.3">
      <c r="B36" s="214" t="s">
        <v>158</v>
      </c>
      <c r="C36" s="200"/>
      <c r="D36" s="99" t="s">
        <v>153</v>
      </c>
      <c r="E36" s="99">
        <v>0.5</v>
      </c>
      <c r="F36" s="114">
        <v>5</v>
      </c>
    </row>
    <row r="37" spans="2:6" ht="33.75" customHeight="1" thickBot="1" x14ac:dyDescent="0.3">
      <c r="B37" s="179" t="s">
        <v>159</v>
      </c>
      <c r="C37" s="180"/>
      <c r="D37" s="101" t="s">
        <v>160</v>
      </c>
      <c r="E37" s="101">
        <v>0</v>
      </c>
      <c r="F37" s="114">
        <v>0</v>
      </c>
    </row>
    <row r="38" spans="2:6" ht="31.5" customHeight="1" thickBot="1" x14ac:dyDescent="0.3">
      <c r="B38" s="182" t="s">
        <v>161</v>
      </c>
      <c r="C38" s="183"/>
      <c r="D38" s="102" t="s">
        <v>138</v>
      </c>
      <c r="E38" s="102" t="s">
        <v>139</v>
      </c>
      <c r="F38" s="5">
        <v>-100</v>
      </c>
    </row>
    <row r="40" spans="2:6" ht="16.5" thickBot="1" x14ac:dyDescent="0.3">
      <c r="B40" s="203" t="s">
        <v>116</v>
      </c>
      <c r="C40" s="203"/>
      <c r="D40" s="106" t="s">
        <v>129</v>
      </c>
      <c r="E40" s="106" t="s">
        <v>140</v>
      </c>
    </row>
    <row r="41" spans="2:6" ht="40.5" customHeight="1" thickBot="1" x14ac:dyDescent="0.3">
      <c r="B41" s="185" t="s">
        <v>162</v>
      </c>
      <c r="C41" s="186"/>
      <c r="D41" s="99" t="s">
        <v>132</v>
      </c>
      <c r="E41" s="99">
        <v>0.5</v>
      </c>
      <c r="F41" s="5">
        <v>5</v>
      </c>
    </row>
    <row r="42" spans="2:6" ht="40.5" customHeight="1" thickBot="1" x14ac:dyDescent="0.3">
      <c r="B42" s="177" t="s">
        <v>384</v>
      </c>
      <c r="C42" s="178"/>
      <c r="D42" s="100" t="s">
        <v>134</v>
      </c>
      <c r="E42" s="100">
        <v>0.25</v>
      </c>
      <c r="F42" s="5">
        <v>2.5</v>
      </c>
    </row>
    <row r="43" spans="2:6" ht="40.5" customHeight="1" thickBot="1" x14ac:dyDescent="0.3">
      <c r="B43" s="179" t="s">
        <v>163</v>
      </c>
      <c r="C43" s="180"/>
      <c r="D43" s="101" t="s">
        <v>136</v>
      </c>
      <c r="E43" s="101">
        <v>0</v>
      </c>
      <c r="F43" s="5">
        <v>0</v>
      </c>
    </row>
    <row r="45" spans="2:6" x14ac:dyDescent="0.25">
      <c r="B45" s="187" t="s">
        <v>164</v>
      </c>
      <c r="C45" s="187"/>
      <c r="D45" s="187"/>
      <c r="E45" s="187"/>
    </row>
    <row r="46" spans="2:6" x14ac:dyDescent="0.25">
      <c r="B46" s="94"/>
      <c r="C46" s="94"/>
      <c r="D46" s="94"/>
      <c r="E46" s="94"/>
    </row>
    <row r="47" spans="2:6" ht="16.5" thickBot="1" x14ac:dyDescent="0.3">
      <c r="B47" s="184" t="s">
        <v>165</v>
      </c>
      <c r="C47" s="184"/>
      <c r="D47" s="106" t="s">
        <v>129</v>
      </c>
      <c r="E47" s="106" t="s">
        <v>140</v>
      </c>
    </row>
    <row r="48" spans="2:6" ht="45.75" customHeight="1" thickBot="1" x14ac:dyDescent="0.3">
      <c r="B48" s="199" t="s">
        <v>166</v>
      </c>
      <c r="C48" s="200"/>
      <c r="D48" s="99" t="s">
        <v>167</v>
      </c>
      <c r="E48" s="99">
        <v>1</v>
      </c>
      <c r="F48" s="114">
        <v>10</v>
      </c>
    </row>
    <row r="49" spans="2:6" ht="44.25" customHeight="1" thickBot="1" x14ac:dyDescent="0.3">
      <c r="B49" s="181" t="s">
        <v>168</v>
      </c>
      <c r="C49" s="178"/>
      <c r="D49" s="100" t="s">
        <v>134</v>
      </c>
      <c r="E49" s="100">
        <v>0.5</v>
      </c>
      <c r="F49" s="5">
        <v>5</v>
      </c>
    </row>
    <row r="50" spans="2:6" ht="33.75" customHeight="1" thickBot="1" x14ac:dyDescent="0.3">
      <c r="B50" s="189" t="s">
        <v>197</v>
      </c>
      <c r="C50" s="180"/>
      <c r="D50" s="101" t="s">
        <v>136</v>
      </c>
      <c r="E50" s="101">
        <v>0</v>
      </c>
      <c r="F50" s="5">
        <v>0</v>
      </c>
    </row>
    <row r="51" spans="2:6" ht="33.75" customHeight="1" thickBot="1" x14ac:dyDescent="0.3">
      <c r="B51" s="191" t="s">
        <v>169</v>
      </c>
      <c r="C51" s="183"/>
      <c r="D51" s="102" t="s">
        <v>138</v>
      </c>
      <c r="E51" s="102" t="s">
        <v>139</v>
      </c>
      <c r="F51" s="114">
        <v>-100</v>
      </c>
    </row>
    <row r="53" spans="2:6" ht="16.5" thickBot="1" x14ac:dyDescent="0.3">
      <c r="B53" s="184" t="s">
        <v>170</v>
      </c>
      <c r="C53" s="184"/>
      <c r="D53" s="106" t="s">
        <v>129</v>
      </c>
      <c r="E53" s="106" t="s">
        <v>140</v>
      </c>
    </row>
    <row r="54" spans="2:6" ht="44.25" customHeight="1" thickBot="1" x14ac:dyDescent="0.3">
      <c r="B54" s="199" t="s">
        <v>171</v>
      </c>
      <c r="C54" s="200"/>
      <c r="D54" s="99" t="s">
        <v>132</v>
      </c>
      <c r="E54" s="99">
        <v>1</v>
      </c>
      <c r="F54" s="114">
        <v>10</v>
      </c>
    </row>
    <row r="55" spans="2:6" ht="50.25" customHeight="1" thickBot="1" x14ac:dyDescent="0.3">
      <c r="B55" s="181" t="s">
        <v>172</v>
      </c>
      <c r="C55" s="178"/>
      <c r="D55" s="100" t="s">
        <v>134</v>
      </c>
      <c r="E55" s="100">
        <v>0.5</v>
      </c>
      <c r="F55" s="5">
        <v>5</v>
      </c>
    </row>
    <row r="56" spans="2:6" ht="33.75" customHeight="1" thickBot="1" x14ac:dyDescent="0.3">
      <c r="B56" s="189" t="s">
        <v>196</v>
      </c>
      <c r="C56" s="180"/>
      <c r="D56" s="101" t="s">
        <v>136</v>
      </c>
      <c r="E56" s="101">
        <v>0</v>
      </c>
      <c r="F56" s="5">
        <v>0</v>
      </c>
    </row>
    <row r="57" spans="2:6" ht="18" thickBot="1" x14ac:dyDescent="0.3">
      <c r="B57" s="191" t="s">
        <v>173</v>
      </c>
      <c r="C57" s="188"/>
      <c r="D57" s="102" t="s">
        <v>138</v>
      </c>
      <c r="E57" s="102" t="s">
        <v>139</v>
      </c>
      <c r="F57" s="114">
        <v>-100</v>
      </c>
    </row>
    <row r="59" spans="2:6" x14ac:dyDescent="0.25">
      <c r="B59" s="187" t="s">
        <v>174</v>
      </c>
      <c r="C59" s="187"/>
      <c r="D59" s="187"/>
      <c r="E59" s="187"/>
    </row>
    <row r="60" spans="2:6" x14ac:dyDescent="0.25">
      <c r="B60" s="94"/>
      <c r="C60" s="94"/>
      <c r="D60" s="94"/>
      <c r="E60" s="94"/>
    </row>
    <row r="61" spans="2:6" ht="16.5" thickBot="1" x14ac:dyDescent="0.3">
      <c r="B61" s="184" t="s">
        <v>175</v>
      </c>
      <c r="C61" s="184"/>
      <c r="D61" s="106" t="s">
        <v>129</v>
      </c>
      <c r="E61" s="106" t="s">
        <v>140</v>
      </c>
    </row>
    <row r="62" spans="2:6" ht="42.75" customHeight="1" thickBot="1" x14ac:dyDescent="0.3">
      <c r="B62" s="190" t="s">
        <v>176</v>
      </c>
      <c r="C62" s="186"/>
      <c r="D62" s="99" t="s">
        <v>132</v>
      </c>
      <c r="E62" s="99">
        <v>0.5</v>
      </c>
      <c r="F62" s="114">
        <v>5</v>
      </c>
    </row>
    <row r="63" spans="2:6" ht="33.75" customHeight="1" thickBot="1" x14ac:dyDescent="0.3">
      <c r="B63" s="189" t="s">
        <v>177</v>
      </c>
      <c r="C63" s="180"/>
      <c r="D63" s="101" t="s">
        <v>136</v>
      </c>
      <c r="E63" s="101">
        <v>0</v>
      </c>
      <c r="F63" s="114">
        <v>0</v>
      </c>
    </row>
    <row r="65" spans="2:7" ht="16.5" thickBot="1" x14ac:dyDescent="0.3">
      <c r="B65" s="184" t="s">
        <v>178</v>
      </c>
      <c r="C65" s="184"/>
      <c r="D65" s="106" t="s">
        <v>129</v>
      </c>
      <c r="E65" s="106" t="s">
        <v>140</v>
      </c>
    </row>
    <row r="66" spans="2:7" ht="59.25" customHeight="1" thickBot="1" x14ac:dyDescent="0.3">
      <c r="B66" s="190" t="s">
        <v>409</v>
      </c>
      <c r="C66" s="186"/>
      <c r="D66" s="99" t="s">
        <v>132</v>
      </c>
      <c r="E66" s="99">
        <v>1.2</v>
      </c>
      <c r="F66" s="5">
        <v>10</v>
      </c>
      <c r="G66">
        <v>1.2</v>
      </c>
    </row>
    <row r="67" spans="2:7" ht="38.25" customHeight="1" thickBot="1" x14ac:dyDescent="0.3">
      <c r="B67" s="181" t="s">
        <v>410</v>
      </c>
      <c r="C67" s="178"/>
      <c r="D67" s="100" t="s">
        <v>200</v>
      </c>
      <c r="E67" s="100">
        <v>0.6</v>
      </c>
      <c r="F67" s="5"/>
      <c r="G67">
        <v>0.6</v>
      </c>
    </row>
    <row r="68" spans="2:7" ht="40.5" customHeight="1" thickBot="1" x14ac:dyDescent="0.3">
      <c r="B68" s="189" t="s">
        <v>411</v>
      </c>
      <c r="C68" s="180"/>
      <c r="D68" s="101" t="s">
        <v>136</v>
      </c>
      <c r="E68" s="101">
        <v>0</v>
      </c>
      <c r="F68" s="5">
        <v>0</v>
      </c>
      <c r="G68">
        <v>0</v>
      </c>
    </row>
    <row r="70" spans="2:7" ht="16.5" thickBot="1" x14ac:dyDescent="0.3">
      <c r="B70" s="184" t="s">
        <v>179</v>
      </c>
      <c r="C70" s="184"/>
      <c r="D70" s="106" t="s">
        <v>129</v>
      </c>
      <c r="E70" s="106" t="s">
        <v>140</v>
      </c>
    </row>
    <row r="71" spans="2:7" ht="41.25" customHeight="1" thickBot="1" x14ac:dyDescent="0.3">
      <c r="B71" s="185" t="s">
        <v>180</v>
      </c>
      <c r="C71" s="186"/>
      <c r="D71" s="99" t="s">
        <v>132</v>
      </c>
      <c r="E71" s="99">
        <v>0.3</v>
      </c>
      <c r="F71" s="5">
        <v>3</v>
      </c>
    </row>
    <row r="72" spans="2:7" ht="18" thickBot="1" x14ac:dyDescent="0.3">
      <c r="B72" s="179" t="s">
        <v>181</v>
      </c>
      <c r="C72" s="180"/>
      <c r="D72" s="101" t="s">
        <v>136</v>
      </c>
      <c r="E72" s="101">
        <v>0</v>
      </c>
      <c r="F72" s="5">
        <v>0</v>
      </c>
    </row>
    <row r="73" spans="2:7" x14ac:dyDescent="0.25">
      <c r="B73" s="109"/>
      <c r="C73" s="109"/>
      <c r="D73" s="109"/>
      <c r="E73" s="109"/>
    </row>
    <row r="74" spans="2:7" ht="16.5" thickBot="1" x14ac:dyDescent="0.3">
      <c r="B74" s="184" t="s">
        <v>120</v>
      </c>
      <c r="C74" s="184"/>
      <c r="D74" s="106" t="s">
        <v>129</v>
      </c>
      <c r="E74" s="106" t="s">
        <v>140</v>
      </c>
    </row>
    <row r="75" spans="2:7" ht="38.25" customHeight="1" thickBot="1" x14ac:dyDescent="0.3">
      <c r="B75" s="185" t="s">
        <v>182</v>
      </c>
      <c r="C75" s="186"/>
      <c r="D75" s="99" t="s">
        <v>132</v>
      </c>
      <c r="E75" s="99">
        <v>0.2</v>
      </c>
      <c r="F75" s="5">
        <v>2</v>
      </c>
    </row>
    <row r="76" spans="2:7" ht="38.25" customHeight="1" thickBot="1" x14ac:dyDescent="0.3">
      <c r="B76" s="177" t="s">
        <v>405</v>
      </c>
      <c r="C76" s="178"/>
      <c r="D76" s="100" t="s">
        <v>134</v>
      </c>
      <c r="E76" s="100">
        <v>0.1</v>
      </c>
      <c r="F76" s="5">
        <v>1</v>
      </c>
    </row>
    <row r="77" spans="2:7" ht="38.25" customHeight="1" thickBot="1" x14ac:dyDescent="0.3">
      <c r="B77" s="179" t="s">
        <v>406</v>
      </c>
      <c r="C77" s="180"/>
      <c r="D77" s="101" t="s">
        <v>136</v>
      </c>
      <c r="E77" s="101">
        <v>0</v>
      </c>
      <c r="F77" s="5">
        <v>0</v>
      </c>
    </row>
    <row r="78" spans="2:7" ht="49.5" customHeight="1" thickBot="1" x14ac:dyDescent="0.3">
      <c r="B78" s="182" t="s">
        <v>183</v>
      </c>
      <c r="C78" s="183"/>
      <c r="D78" s="102" t="s">
        <v>138</v>
      </c>
      <c r="E78" s="102" t="s">
        <v>139</v>
      </c>
      <c r="F78" s="5">
        <v>-100</v>
      </c>
    </row>
    <row r="79" spans="2:7" ht="30" customHeight="1" x14ac:dyDescent="0.25">
      <c r="B79" s="110"/>
      <c r="C79" s="110"/>
      <c r="D79" s="105"/>
      <c r="E79" s="105"/>
      <c r="F79" s="5"/>
    </row>
    <row r="80" spans="2:7" ht="15" customHeight="1" x14ac:dyDescent="0.25">
      <c r="B80" s="187" t="s">
        <v>185</v>
      </c>
      <c r="C80" s="187"/>
      <c r="D80" s="187"/>
      <c r="E80" s="187"/>
    </row>
    <row r="81" spans="2:6" ht="15" customHeight="1" x14ac:dyDescent="0.25">
      <c r="B81" s="94"/>
      <c r="C81" s="94"/>
      <c r="D81" s="94"/>
      <c r="E81" s="94"/>
    </row>
    <row r="82" spans="2:6" ht="16.5" thickBot="1" x14ac:dyDescent="0.3">
      <c r="B82" s="184" t="s">
        <v>186</v>
      </c>
      <c r="C82" s="184"/>
      <c r="D82" s="106" t="s">
        <v>129</v>
      </c>
      <c r="E82" s="106" t="s">
        <v>140</v>
      </c>
    </row>
    <row r="83" spans="2:6" ht="39" customHeight="1" thickBot="1" x14ac:dyDescent="0.3">
      <c r="B83" s="192" t="s">
        <v>187</v>
      </c>
      <c r="C83" s="193"/>
      <c r="D83" s="99" t="s">
        <v>132</v>
      </c>
      <c r="E83" s="99">
        <v>1</v>
      </c>
      <c r="F83" s="5">
        <v>10</v>
      </c>
    </row>
    <row r="84" spans="2:6" ht="50.25" customHeight="1" thickBot="1" x14ac:dyDescent="0.3">
      <c r="B84" s="177" t="s">
        <v>188</v>
      </c>
      <c r="C84" s="178"/>
      <c r="D84" s="100" t="s">
        <v>134</v>
      </c>
      <c r="E84" s="100">
        <v>0.5</v>
      </c>
      <c r="F84" s="5">
        <v>5</v>
      </c>
    </row>
    <row r="85" spans="2:6" ht="33.75" customHeight="1" thickBot="1" x14ac:dyDescent="0.3">
      <c r="B85" s="179" t="s">
        <v>189</v>
      </c>
      <c r="C85" s="180"/>
      <c r="D85" s="101" t="s">
        <v>136</v>
      </c>
      <c r="E85" s="101">
        <v>0</v>
      </c>
      <c r="F85" s="5">
        <v>0</v>
      </c>
    </row>
    <row r="86" spans="2:6" ht="15.75" customHeight="1" x14ac:dyDescent="0.25">
      <c r="D86" s="5"/>
      <c r="E86" s="5"/>
      <c r="F86" s="5"/>
    </row>
    <row r="87" spans="2:6" ht="16.5" thickBot="1" x14ac:dyDescent="0.3">
      <c r="B87" s="184" t="s">
        <v>113</v>
      </c>
      <c r="C87" s="184"/>
      <c r="D87" s="106" t="s">
        <v>129</v>
      </c>
      <c r="E87" s="106" t="s">
        <v>140</v>
      </c>
      <c r="F87" s="5"/>
    </row>
    <row r="88" spans="2:6" ht="76.5" customHeight="1" thickBot="1" x14ac:dyDescent="0.3">
      <c r="B88" s="194" t="s">
        <v>190</v>
      </c>
      <c r="C88" s="195"/>
      <c r="D88" s="99" t="s">
        <v>132</v>
      </c>
      <c r="E88" s="99">
        <v>1</v>
      </c>
      <c r="F88" s="5">
        <v>10</v>
      </c>
    </row>
    <row r="89" spans="2:6" ht="50.25" customHeight="1" thickBot="1" x14ac:dyDescent="0.3">
      <c r="B89" s="177" t="s">
        <v>191</v>
      </c>
      <c r="C89" s="178"/>
      <c r="D89" s="100" t="s">
        <v>134</v>
      </c>
      <c r="E89" s="100">
        <v>0.5</v>
      </c>
      <c r="F89" s="5">
        <v>5</v>
      </c>
    </row>
    <row r="90" spans="2:6" ht="49.5" customHeight="1" thickBot="1" x14ac:dyDescent="0.3">
      <c r="B90" s="179" t="s">
        <v>192</v>
      </c>
      <c r="C90" s="180"/>
      <c r="D90" s="101" t="s">
        <v>136</v>
      </c>
      <c r="E90" s="101">
        <v>0</v>
      </c>
      <c r="F90" s="5">
        <v>0</v>
      </c>
    </row>
    <row r="91" spans="2:6" x14ac:dyDescent="0.25">
      <c r="D91" s="5"/>
      <c r="E91" s="5"/>
    </row>
    <row r="92" spans="2:6" ht="15.75" thickBot="1" x14ac:dyDescent="0.3">
      <c r="B92" s="196" t="s">
        <v>193</v>
      </c>
      <c r="C92" s="196"/>
      <c r="D92" s="5"/>
      <c r="E92" s="5"/>
    </row>
    <row r="94" spans="2:6" x14ac:dyDescent="0.25">
      <c r="B94" s="197" t="s">
        <v>137</v>
      </c>
      <c r="C94" s="198"/>
    </row>
    <row r="95" spans="2:6" ht="17.25" x14ac:dyDescent="0.3">
      <c r="B95" s="111"/>
      <c r="C95" s="111"/>
    </row>
    <row r="96" spans="2:6" ht="42.75" customHeight="1" x14ac:dyDescent="0.25">
      <c r="B96" s="191" t="s">
        <v>201</v>
      </c>
      <c r="C96" s="183"/>
    </row>
    <row r="97" spans="2:3" ht="17.25" x14ac:dyDescent="0.3">
      <c r="B97" s="111"/>
      <c r="C97" s="111"/>
    </row>
    <row r="98" spans="2:3" ht="17.25" x14ac:dyDescent="0.25">
      <c r="B98" s="182" t="s">
        <v>145</v>
      </c>
      <c r="C98" s="188"/>
    </row>
    <row r="99" spans="2:3" ht="17.25" x14ac:dyDescent="0.3">
      <c r="B99" s="111"/>
      <c r="C99" s="111"/>
    </row>
    <row r="100" spans="2:3" ht="33.75" customHeight="1" x14ac:dyDescent="0.25">
      <c r="B100" s="182" t="s">
        <v>151</v>
      </c>
      <c r="C100" s="183"/>
    </row>
    <row r="101" spans="2:3" ht="17.25" x14ac:dyDescent="0.3">
      <c r="B101" s="111"/>
      <c r="C101" s="111"/>
    </row>
    <row r="102" spans="2:3" ht="40.5" customHeight="1" x14ac:dyDescent="0.25">
      <c r="B102" s="182" t="s">
        <v>161</v>
      </c>
      <c r="C102" s="183"/>
    </row>
    <row r="103" spans="2:3" ht="17.25" x14ac:dyDescent="0.3">
      <c r="B103" s="111"/>
      <c r="C103" s="111"/>
    </row>
    <row r="104" spans="2:3" x14ac:dyDescent="0.25">
      <c r="B104" s="191" t="s">
        <v>169</v>
      </c>
      <c r="C104" s="183"/>
    </row>
    <row r="105" spans="2:3" ht="17.25" x14ac:dyDescent="0.3">
      <c r="B105" s="111"/>
      <c r="C105" s="111"/>
    </row>
    <row r="106" spans="2:3" ht="17.25" x14ac:dyDescent="0.25">
      <c r="B106" s="191" t="s">
        <v>173</v>
      </c>
      <c r="C106" s="188"/>
    </row>
    <row r="107" spans="2:3" ht="17.25" x14ac:dyDescent="0.3">
      <c r="B107" s="111"/>
      <c r="C107" s="111"/>
    </row>
    <row r="108" spans="2:3" ht="38.25" customHeight="1" x14ac:dyDescent="0.25">
      <c r="B108" s="182" t="s">
        <v>183</v>
      </c>
      <c r="C108" s="183"/>
    </row>
    <row r="109" spans="2:3" ht="17.25" x14ac:dyDescent="0.3">
      <c r="B109" s="111"/>
      <c r="C109" s="111"/>
    </row>
    <row r="110" spans="2:3" ht="36" customHeight="1" x14ac:dyDescent="0.25">
      <c r="B110" s="182" t="s">
        <v>184</v>
      </c>
      <c r="C110" s="183"/>
    </row>
  </sheetData>
  <mergeCells count="77">
    <mergeCell ref="B12:C12"/>
    <mergeCell ref="B4:E4"/>
    <mergeCell ref="B6:E6"/>
    <mergeCell ref="B9:C9"/>
    <mergeCell ref="B10:C10"/>
    <mergeCell ref="B11:C11"/>
    <mergeCell ref="B40:C40"/>
    <mergeCell ref="B26:C26"/>
    <mergeCell ref="B14:C14"/>
    <mergeCell ref="B15:C15"/>
    <mergeCell ref="B16:C16"/>
    <mergeCell ref="B17:C17"/>
    <mergeCell ref="B19:C19"/>
    <mergeCell ref="B20:C20"/>
    <mergeCell ref="B21:C21"/>
    <mergeCell ref="B22:C22"/>
    <mergeCell ref="B23:C23"/>
    <mergeCell ref="B25:C25"/>
    <mergeCell ref="B33:C33"/>
    <mergeCell ref="B35:C35"/>
    <mergeCell ref="B36:C36"/>
    <mergeCell ref="B37:C37"/>
    <mergeCell ref="B38:C38"/>
    <mergeCell ref="B27:C27"/>
    <mergeCell ref="B28:C28"/>
    <mergeCell ref="B30:C30"/>
    <mergeCell ref="B31:C31"/>
    <mergeCell ref="B32:C32"/>
    <mergeCell ref="B50:C50"/>
    <mergeCell ref="B51:C51"/>
    <mergeCell ref="B53:C53"/>
    <mergeCell ref="B54:C54"/>
    <mergeCell ref="B41:C41"/>
    <mergeCell ref="B43:C43"/>
    <mergeCell ref="B45:E45"/>
    <mergeCell ref="B47:C47"/>
    <mergeCell ref="B48:C48"/>
    <mergeCell ref="B49:C49"/>
    <mergeCell ref="B42:C42"/>
    <mergeCell ref="B110:C110"/>
    <mergeCell ref="B100:C100"/>
    <mergeCell ref="B83:C83"/>
    <mergeCell ref="B84:C84"/>
    <mergeCell ref="B85:C85"/>
    <mergeCell ref="B87:C87"/>
    <mergeCell ref="B88:C88"/>
    <mergeCell ref="B89:C89"/>
    <mergeCell ref="B90:C90"/>
    <mergeCell ref="B92:C92"/>
    <mergeCell ref="B94:C94"/>
    <mergeCell ref="B96:C96"/>
    <mergeCell ref="B102:C102"/>
    <mergeCell ref="B104:C104"/>
    <mergeCell ref="B106:C106"/>
    <mergeCell ref="B70:C70"/>
    <mergeCell ref="B67:C67"/>
    <mergeCell ref="B56:C56"/>
    <mergeCell ref="B57:C57"/>
    <mergeCell ref="B59:E59"/>
    <mergeCell ref="B61:C61"/>
    <mergeCell ref="B62:C62"/>
    <mergeCell ref="B76:C76"/>
    <mergeCell ref="B77:C77"/>
    <mergeCell ref="B55:C55"/>
    <mergeCell ref="B108:C108"/>
    <mergeCell ref="B82:C82"/>
    <mergeCell ref="B71:C71"/>
    <mergeCell ref="B72:C72"/>
    <mergeCell ref="B74:C74"/>
    <mergeCell ref="B75:C75"/>
    <mergeCell ref="B78:C78"/>
    <mergeCell ref="B80:E80"/>
    <mergeCell ref="B98:C98"/>
    <mergeCell ref="B63:C63"/>
    <mergeCell ref="B65:C65"/>
    <mergeCell ref="B66:C66"/>
    <mergeCell ref="B68:C6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14186-865F-4BEE-9D6D-A0E45FF92953}">
  <dimension ref="B2:G107"/>
  <sheetViews>
    <sheetView topLeftCell="A20" workbookViewId="0">
      <selection activeCell="B53" sqref="B53:C53"/>
    </sheetView>
  </sheetViews>
  <sheetFormatPr defaultColWidth="11.42578125" defaultRowHeight="15" x14ac:dyDescent="0.25"/>
  <cols>
    <col min="3" max="3" width="98.140625" customWidth="1"/>
    <col min="4" max="4" width="18.42578125" customWidth="1"/>
    <col min="5" max="5" width="16.85546875" customWidth="1"/>
    <col min="6" max="7" width="11.42578125" hidden="1" customWidth="1"/>
  </cols>
  <sheetData>
    <row r="2" spans="2:7" ht="23.25" x14ac:dyDescent="0.35">
      <c r="C2" s="93" t="s">
        <v>220</v>
      </c>
    </row>
    <row r="4" spans="2:7" ht="15" customHeight="1" x14ac:dyDescent="0.25">
      <c r="B4" s="215" t="s">
        <v>221</v>
      </c>
      <c r="C4" s="215"/>
      <c r="D4" s="215"/>
      <c r="E4" s="215"/>
    </row>
    <row r="6" spans="2:7" ht="15" customHeight="1" x14ac:dyDescent="0.25">
      <c r="B6" s="187" t="s">
        <v>202</v>
      </c>
      <c r="C6" s="187"/>
      <c r="D6" s="187"/>
      <c r="E6" s="187"/>
    </row>
    <row r="7" spans="2:7" x14ac:dyDescent="0.25">
      <c r="B7" s="94"/>
      <c r="C7" s="94"/>
      <c r="D7" s="94"/>
      <c r="E7" s="94"/>
    </row>
    <row r="8" spans="2:7" ht="30.75" customHeight="1" thickBot="1" x14ac:dyDescent="0.3">
      <c r="B8" s="95" t="s">
        <v>206</v>
      </c>
      <c r="C8" s="122"/>
      <c r="D8" s="106" t="s">
        <v>222</v>
      </c>
      <c r="E8" s="112" t="s">
        <v>223</v>
      </c>
      <c r="F8" s="112" t="s">
        <v>194</v>
      </c>
      <c r="G8" s="113" t="s">
        <v>195</v>
      </c>
    </row>
    <row r="9" spans="2:7" ht="42.75" customHeight="1" thickBot="1" x14ac:dyDescent="0.3">
      <c r="B9" s="216" t="s">
        <v>224</v>
      </c>
      <c r="C9" s="217"/>
      <c r="D9" s="123" t="s">
        <v>225</v>
      </c>
      <c r="E9" s="99">
        <v>0.5</v>
      </c>
      <c r="F9" s="5">
        <v>5</v>
      </c>
    </row>
    <row r="10" spans="2:7" ht="52.5" customHeight="1" thickBot="1" x14ac:dyDescent="0.3">
      <c r="B10" s="218" t="s">
        <v>226</v>
      </c>
      <c r="C10" s="219"/>
      <c r="D10" s="124" t="s">
        <v>227</v>
      </c>
      <c r="E10" s="100">
        <v>0.2</v>
      </c>
      <c r="F10" s="5">
        <v>2</v>
      </c>
    </row>
    <row r="11" spans="2:7" ht="18" thickBot="1" x14ac:dyDescent="0.3">
      <c r="B11" s="201" t="s">
        <v>228</v>
      </c>
      <c r="C11" s="202"/>
      <c r="D11" s="125" t="s">
        <v>229</v>
      </c>
      <c r="E11" s="101">
        <v>0</v>
      </c>
      <c r="F11" s="114">
        <v>0</v>
      </c>
    </row>
    <row r="12" spans="2:7" ht="19.5" customHeight="1" thickBot="1" x14ac:dyDescent="0.3">
      <c r="B12" s="197" t="s">
        <v>230</v>
      </c>
      <c r="C12" s="198"/>
      <c r="D12" s="126" t="s">
        <v>231</v>
      </c>
      <c r="E12" s="127" t="s">
        <v>232</v>
      </c>
      <c r="F12" s="114">
        <v>-100</v>
      </c>
    </row>
    <row r="13" spans="2:7" ht="16.5" x14ac:dyDescent="0.3">
      <c r="B13" s="103"/>
      <c r="C13" s="104"/>
      <c r="D13" s="105"/>
      <c r="E13" s="105"/>
    </row>
    <row r="14" spans="2:7" ht="16.5" thickBot="1" x14ac:dyDescent="0.3">
      <c r="B14" s="184" t="s">
        <v>114</v>
      </c>
      <c r="C14" s="184"/>
      <c r="D14" s="106" t="s">
        <v>222</v>
      </c>
      <c r="E14" s="112" t="s">
        <v>223</v>
      </c>
    </row>
    <row r="15" spans="2:7" ht="63" customHeight="1" thickBot="1" x14ac:dyDescent="0.3">
      <c r="B15" s="206" t="s">
        <v>233</v>
      </c>
      <c r="C15" s="193"/>
      <c r="D15" s="123" t="s">
        <v>225</v>
      </c>
      <c r="E15" s="99">
        <v>1</v>
      </c>
      <c r="F15" s="114">
        <v>10</v>
      </c>
    </row>
    <row r="16" spans="2:7" ht="48.75" customHeight="1" thickBot="1" x14ac:dyDescent="0.3">
      <c r="B16" s="181" t="s">
        <v>234</v>
      </c>
      <c r="C16" s="178"/>
      <c r="D16" s="124" t="s">
        <v>227</v>
      </c>
      <c r="E16" s="100">
        <v>0.5</v>
      </c>
      <c r="F16" s="5">
        <v>5</v>
      </c>
    </row>
    <row r="17" spans="2:6" ht="33.75" customHeight="1" thickBot="1" x14ac:dyDescent="0.3">
      <c r="B17" s="191" t="s">
        <v>235</v>
      </c>
      <c r="C17" s="183"/>
      <c r="D17" s="126" t="s">
        <v>231</v>
      </c>
      <c r="E17" s="127" t="s">
        <v>232</v>
      </c>
      <c r="F17" s="114">
        <v>-100</v>
      </c>
    </row>
    <row r="19" spans="2:6" ht="16.5" thickBot="1" x14ac:dyDescent="0.3">
      <c r="B19" s="184" t="s">
        <v>207</v>
      </c>
      <c r="C19" s="184"/>
      <c r="D19" s="106" t="s">
        <v>222</v>
      </c>
      <c r="E19" s="112" t="s">
        <v>223</v>
      </c>
    </row>
    <row r="20" spans="2:6" ht="54.75" customHeight="1" thickBot="1" x14ac:dyDescent="0.3">
      <c r="B20" s="207" t="s">
        <v>236</v>
      </c>
      <c r="C20" s="220"/>
      <c r="D20" s="123" t="s">
        <v>225</v>
      </c>
      <c r="E20" s="99">
        <v>0.5</v>
      </c>
      <c r="F20" s="114">
        <v>5</v>
      </c>
    </row>
    <row r="21" spans="2:6" ht="18" customHeight="1" thickBot="1" x14ac:dyDescent="0.3">
      <c r="B21" s="209" t="s">
        <v>237</v>
      </c>
      <c r="C21" s="210"/>
      <c r="D21" s="124" t="s">
        <v>227</v>
      </c>
      <c r="E21" s="100">
        <v>0.2</v>
      </c>
      <c r="F21" s="5">
        <v>2</v>
      </c>
    </row>
    <row r="22" spans="2:6" ht="18" thickBot="1" x14ac:dyDescent="0.3">
      <c r="B22" s="211" t="s">
        <v>238</v>
      </c>
      <c r="C22" s="212"/>
      <c r="D22" s="125" t="s">
        <v>229</v>
      </c>
      <c r="E22" s="101">
        <v>0</v>
      </c>
      <c r="F22" s="5">
        <v>0</v>
      </c>
    </row>
    <row r="23" spans="2:6" ht="29.25" thickBot="1" x14ac:dyDescent="0.3">
      <c r="B23" s="182" t="s">
        <v>239</v>
      </c>
      <c r="C23" s="188"/>
      <c r="D23" s="126" t="s">
        <v>231</v>
      </c>
      <c r="E23" s="127" t="s">
        <v>232</v>
      </c>
      <c r="F23" s="114">
        <v>-100</v>
      </c>
    </row>
    <row r="25" spans="2:6" ht="16.5" thickBot="1" x14ac:dyDescent="0.3">
      <c r="B25" s="213" t="s">
        <v>240</v>
      </c>
      <c r="C25" s="213"/>
      <c r="D25" s="106" t="s">
        <v>222</v>
      </c>
      <c r="E25" s="112" t="s">
        <v>223</v>
      </c>
    </row>
    <row r="26" spans="2:6" ht="42.75" customHeight="1" thickBot="1" x14ac:dyDescent="0.3">
      <c r="B26" s="204" t="s">
        <v>241</v>
      </c>
      <c r="C26" s="205"/>
      <c r="D26" s="123" t="s">
        <v>242</v>
      </c>
      <c r="E26" s="99">
        <v>0.3</v>
      </c>
      <c r="F26" s="5">
        <v>5</v>
      </c>
    </row>
    <row r="27" spans="2:6" ht="40.5" customHeight="1" thickBot="1" x14ac:dyDescent="0.3">
      <c r="B27" s="201" t="s">
        <v>243</v>
      </c>
      <c r="C27" s="202"/>
      <c r="D27" s="101" t="s">
        <v>244</v>
      </c>
      <c r="E27" s="101">
        <v>0</v>
      </c>
      <c r="F27" s="5">
        <v>0</v>
      </c>
    </row>
    <row r="28" spans="2:6" ht="34.5" customHeight="1" thickBot="1" x14ac:dyDescent="0.3">
      <c r="B28" s="182" t="s">
        <v>245</v>
      </c>
      <c r="C28" s="183"/>
      <c r="D28" s="126" t="s">
        <v>231</v>
      </c>
      <c r="E28" s="127" t="s">
        <v>232</v>
      </c>
      <c r="F28" s="5">
        <v>-100</v>
      </c>
    </row>
    <row r="30" spans="2:6" ht="15.75" customHeight="1" thickBot="1" x14ac:dyDescent="0.3">
      <c r="B30" s="184" t="s">
        <v>246</v>
      </c>
      <c r="C30" s="184"/>
      <c r="D30" s="106" t="s">
        <v>222</v>
      </c>
      <c r="E30" s="112" t="s">
        <v>223</v>
      </c>
    </row>
    <row r="31" spans="2:6" ht="63" customHeight="1" thickBot="1" x14ac:dyDescent="0.3">
      <c r="B31" s="185" t="s">
        <v>247</v>
      </c>
      <c r="C31" s="186"/>
      <c r="D31" s="123" t="s">
        <v>225</v>
      </c>
      <c r="E31" s="99">
        <v>0.5</v>
      </c>
      <c r="F31" s="5">
        <v>5</v>
      </c>
    </row>
    <row r="32" spans="2:6" ht="50.25" customHeight="1" thickBot="1" x14ac:dyDescent="0.3">
      <c r="B32" s="177" t="s">
        <v>248</v>
      </c>
      <c r="C32" s="178"/>
      <c r="D32" s="124" t="s">
        <v>227</v>
      </c>
      <c r="E32" s="100">
        <v>0.2</v>
      </c>
      <c r="F32" s="5">
        <v>2</v>
      </c>
    </row>
    <row r="33" spans="2:6" ht="33.75" customHeight="1" thickBot="1" x14ac:dyDescent="0.3">
      <c r="B33" s="179" t="s">
        <v>249</v>
      </c>
      <c r="C33" s="180"/>
      <c r="D33" s="125" t="s">
        <v>229</v>
      </c>
      <c r="E33" s="101">
        <v>0</v>
      </c>
      <c r="F33" s="5">
        <v>0</v>
      </c>
    </row>
    <row r="35" spans="2:6" ht="16.5" thickBot="1" x14ac:dyDescent="0.3">
      <c r="B35" s="184" t="s">
        <v>250</v>
      </c>
      <c r="C35" s="184"/>
      <c r="D35" s="106" t="s">
        <v>222</v>
      </c>
      <c r="E35" s="112" t="s">
        <v>223</v>
      </c>
    </row>
    <row r="36" spans="2:6" ht="63" customHeight="1" thickBot="1" x14ac:dyDescent="0.3">
      <c r="B36" s="214" t="s">
        <v>251</v>
      </c>
      <c r="C36" s="200"/>
      <c r="D36" s="123" t="s">
        <v>225</v>
      </c>
      <c r="E36" s="99">
        <v>0.5</v>
      </c>
      <c r="F36" s="114">
        <v>5</v>
      </c>
    </row>
    <row r="37" spans="2:6" ht="33.75" customHeight="1" thickBot="1" x14ac:dyDescent="0.3">
      <c r="B37" s="179" t="s">
        <v>252</v>
      </c>
      <c r="C37" s="180"/>
      <c r="D37" s="125" t="s">
        <v>229</v>
      </c>
      <c r="E37" s="101">
        <v>0</v>
      </c>
      <c r="F37" s="114">
        <v>0</v>
      </c>
    </row>
    <row r="38" spans="2:6" ht="31.5" customHeight="1" thickBot="1" x14ac:dyDescent="0.3">
      <c r="B38" s="182" t="s">
        <v>253</v>
      </c>
      <c r="C38" s="183"/>
      <c r="D38" s="126" t="s">
        <v>231</v>
      </c>
      <c r="E38" s="127" t="s">
        <v>232</v>
      </c>
      <c r="F38" s="5">
        <v>-100</v>
      </c>
    </row>
    <row r="40" spans="2:6" ht="16.5" thickBot="1" x14ac:dyDescent="0.3">
      <c r="B40" s="203" t="s">
        <v>254</v>
      </c>
      <c r="C40" s="203"/>
      <c r="D40" s="106" t="s">
        <v>222</v>
      </c>
      <c r="E40" s="112" t="s">
        <v>223</v>
      </c>
    </row>
    <row r="41" spans="2:6" ht="40.5" customHeight="1" thickBot="1" x14ac:dyDescent="0.3">
      <c r="B41" s="185" t="s">
        <v>255</v>
      </c>
      <c r="C41" s="186"/>
      <c r="D41" s="123" t="s">
        <v>225</v>
      </c>
      <c r="E41" s="99">
        <v>0.5</v>
      </c>
      <c r="F41" s="5">
        <v>5</v>
      </c>
    </row>
    <row r="42" spans="2:6" ht="40.5" customHeight="1" thickBot="1" x14ac:dyDescent="0.3">
      <c r="B42" s="179" t="s">
        <v>256</v>
      </c>
      <c r="C42" s="180"/>
      <c r="D42" s="125" t="s">
        <v>229</v>
      </c>
      <c r="E42" s="101">
        <v>0</v>
      </c>
      <c r="F42" s="5">
        <v>0</v>
      </c>
    </row>
    <row r="44" spans="2:6" x14ac:dyDescent="0.25">
      <c r="B44" s="187" t="s">
        <v>257</v>
      </c>
      <c r="C44" s="187"/>
      <c r="D44" s="187"/>
      <c r="E44" s="187"/>
    </row>
    <row r="45" spans="2:6" x14ac:dyDescent="0.25">
      <c r="B45" s="94"/>
      <c r="C45" s="94"/>
      <c r="D45" s="94"/>
      <c r="E45" s="94"/>
    </row>
    <row r="46" spans="2:6" ht="16.5" thickBot="1" x14ac:dyDescent="0.3">
      <c r="B46" s="184" t="s">
        <v>258</v>
      </c>
      <c r="C46" s="184"/>
      <c r="D46" s="106" t="s">
        <v>222</v>
      </c>
      <c r="E46" s="112" t="s">
        <v>223</v>
      </c>
    </row>
    <row r="47" spans="2:6" ht="45.75" customHeight="1" thickBot="1" x14ac:dyDescent="0.3">
      <c r="B47" s="199" t="s">
        <v>259</v>
      </c>
      <c r="C47" s="200"/>
      <c r="D47" s="123" t="s">
        <v>225</v>
      </c>
      <c r="E47" s="99">
        <v>1</v>
      </c>
      <c r="F47" s="114">
        <v>10</v>
      </c>
    </row>
    <row r="48" spans="2:6" ht="44.25" customHeight="1" thickBot="1" x14ac:dyDescent="0.3">
      <c r="B48" s="181" t="s">
        <v>260</v>
      </c>
      <c r="C48" s="178"/>
      <c r="D48" s="124" t="s">
        <v>227</v>
      </c>
      <c r="E48" s="100">
        <v>0.5</v>
      </c>
      <c r="F48" s="5">
        <v>5</v>
      </c>
    </row>
    <row r="49" spans="2:6" ht="33.75" customHeight="1" thickBot="1" x14ac:dyDescent="0.3">
      <c r="B49" s="189" t="s">
        <v>261</v>
      </c>
      <c r="C49" s="180"/>
      <c r="D49" s="125" t="s">
        <v>229</v>
      </c>
      <c r="E49" s="101">
        <v>0</v>
      </c>
      <c r="F49" s="5">
        <v>0</v>
      </c>
    </row>
    <row r="50" spans="2:6" ht="33.75" customHeight="1" thickBot="1" x14ac:dyDescent="0.3">
      <c r="B50" s="191" t="s">
        <v>262</v>
      </c>
      <c r="C50" s="183"/>
      <c r="D50" s="126" t="s">
        <v>231</v>
      </c>
      <c r="E50" s="127" t="s">
        <v>232</v>
      </c>
      <c r="F50" s="114">
        <v>-100</v>
      </c>
    </row>
    <row r="52" spans="2:6" ht="16.5" thickBot="1" x14ac:dyDescent="0.3">
      <c r="B52" s="184" t="s">
        <v>263</v>
      </c>
      <c r="C52" s="184"/>
      <c r="D52" s="106" t="s">
        <v>222</v>
      </c>
      <c r="E52" s="112" t="s">
        <v>223</v>
      </c>
    </row>
    <row r="53" spans="2:6" ht="44.25" customHeight="1" thickBot="1" x14ac:dyDescent="0.3">
      <c r="B53" s="199" t="s">
        <v>264</v>
      </c>
      <c r="C53" s="200"/>
      <c r="D53" s="123" t="s">
        <v>225</v>
      </c>
      <c r="E53" s="99">
        <v>1</v>
      </c>
      <c r="F53" s="114">
        <v>10</v>
      </c>
    </row>
    <row r="54" spans="2:6" ht="50.25" customHeight="1" thickBot="1" x14ac:dyDescent="0.3">
      <c r="B54" s="181" t="s">
        <v>265</v>
      </c>
      <c r="C54" s="178"/>
      <c r="D54" s="124" t="s">
        <v>227</v>
      </c>
      <c r="E54" s="100">
        <v>0.5</v>
      </c>
      <c r="F54" s="5">
        <v>5</v>
      </c>
    </row>
    <row r="55" spans="2:6" ht="33.75" customHeight="1" thickBot="1" x14ac:dyDescent="0.3">
      <c r="B55" s="189" t="s">
        <v>266</v>
      </c>
      <c r="C55" s="180"/>
      <c r="D55" s="101" t="s">
        <v>136</v>
      </c>
      <c r="E55" s="101">
        <v>0</v>
      </c>
      <c r="F55" s="5">
        <v>0</v>
      </c>
    </row>
    <row r="56" spans="2:6" ht="29.25" thickBot="1" x14ac:dyDescent="0.3">
      <c r="B56" s="191" t="s">
        <v>267</v>
      </c>
      <c r="C56" s="188"/>
      <c r="D56" s="126" t="s">
        <v>231</v>
      </c>
      <c r="E56" s="127" t="s">
        <v>232</v>
      </c>
      <c r="F56" s="114">
        <v>-100</v>
      </c>
    </row>
    <row r="58" spans="2:6" x14ac:dyDescent="0.25">
      <c r="B58" s="187" t="s">
        <v>268</v>
      </c>
      <c r="C58" s="187"/>
      <c r="D58" s="187"/>
      <c r="E58" s="187"/>
    </row>
    <row r="59" spans="2:6" x14ac:dyDescent="0.25">
      <c r="B59" s="94"/>
      <c r="C59" s="94"/>
      <c r="D59" s="94"/>
      <c r="E59" s="94"/>
    </row>
    <row r="60" spans="2:6" ht="16.5" thickBot="1" x14ac:dyDescent="0.3">
      <c r="B60" s="184" t="s">
        <v>269</v>
      </c>
      <c r="C60" s="184"/>
      <c r="D60" s="106" t="s">
        <v>222</v>
      </c>
      <c r="E60" s="112" t="s">
        <v>223</v>
      </c>
    </row>
    <row r="61" spans="2:6" ht="42.75" customHeight="1" thickBot="1" x14ac:dyDescent="0.3">
      <c r="B61" s="190" t="s">
        <v>270</v>
      </c>
      <c r="C61" s="186"/>
      <c r="D61" s="123" t="s">
        <v>225</v>
      </c>
      <c r="E61" s="99">
        <v>0.5</v>
      </c>
      <c r="F61" s="114">
        <v>5</v>
      </c>
    </row>
    <row r="62" spans="2:6" ht="33.75" customHeight="1" thickBot="1" x14ac:dyDescent="0.3">
      <c r="B62" s="189" t="s">
        <v>271</v>
      </c>
      <c r="C62" s="180"/>
      <c r="D62" s="101" t="s">
        <v>136</v>
      </c>
      <c r="E62" s="101">
        <v>0</v>
      </c>
      <c r="F62" s="114">
        <v>0</v>
      </c>
    </row>
    <row r="64" spans="2:6" ht="16.5" thickBot="1" x14ac:dyDescent="0.3">
      <c r="B64" s="184" t="s">
        <v>272</v>
      </c>
      <c r="C64" s="184"/>
      <c r="D64" s="106" t="s">
        <v>222</v>
      </c>
      <c r="E64" s="112" t="s">
        <v>223</v>
      </c>
    </row>
    <row r="65" spans="2:7" ht="38.25" customHeight="1" thickBot="1" x14ac:dyDescent="0.3">
      <c r="B65" s="190" t="s">
        <v>273</v>
      </c>
      <c r="C65" s="186"/>
      <c r="D65" s="123" t="s">
        <v>225</v>
      </c>
      <c r="E65" s="99">
        <v>1.2</v>
      </c>
      <c r="F65" s="5">
        <v>10</v>
      </c>
      <c r="G65">
        <v>1.2</v>
      </c>
    </row>
    <row r="66" spans="2:7" ht="38.25" customHeight="1" thickBot="1" x14ac:dyDescent="0.3">
      <c r="B66" s="181" t="s">
        <v>274</v>
      </c>
      <c r="C66" s="178"/>
      <c r="D66" s="124" t="s">
        <v>227</v>
      </c>
      <c r="E66" s="100">
        <v>0.6</v>
      </c>
      <c r="F66" s="5"/>
      <c r="G66">
        <v>0.6</v>
      </c>
    </row>
    <row r="67" spans="2:7" ht="40.5" customHeight="1" thickBot="1" x14ac:dyDescent="0.3">
      <c r="B67" s="189" t="s">
        <v>275</v>
      </c>
      <c r="C67" s="180"/>
      <c r="D67" s="125" t="s">
        <v>229</v>
      </c>
      <c r="E67" s="101">
        <v>0</v>
      </c>
      <c r="F67" s="5">
        <v>0</v>
      </c>
      <c r="G67">
        <v>0</v>
      </c>
    </row>
    <row r="69" spans="2:7" ht="16.5" thickBot="1" x14ac:dyDescent="0.3">
      <c r="B69" s="184" t="s">
        <v>276</v>
      </c>
      <c r="C69" s="184"/>
      <c r="D69" s="106" t="s">
        <v>222</v>
      </c>
      <c r="E69" s="112" t="s">
        <v>223</v>
      </c>
    </row>
    <row r="70" spans="2:7" ht="41.25" customHeight="1" thickBot="1" x14ac:dyDescent="0.3">
      <c r="B70" s="185" t="s">
        <v>277</v>
      </c>
      <c r="C70" s="186"/>
      <c r="D70" s="123" t="s">
        <v>225</v>
      </c>
      <c r="E70" s="99">
        <v>0.3</v>
      </c>
      <c r="F70" s="5">
        <v>3</v>
      </c>
    </row>
    <row r="71" spans="2:7" ht="18" thickBot="1" x14ac:dyDescent="0.3">
      <c r="B71" s="179" t="s">
        <v>278</v>
      </c>
      <c r="C71" s="180"/>
      <c r="D71" s="125" t="s">
        <v>229</v>
      </c>
      <c r="E71" s="101">
        <v>0</v>
      </c>
      <c r="F71" s="5">
        <v>0</v>
      </c>
    </row>
    <row r="72" spans="2:7" x14ac:dyDescent="0.25">
      <c r="B72" s="109"/>
      <c r="C72" s="109"/>
      <c r="D72" s="109"/>
      <c r="E72" s="109"/>
    </row>
    <row r="73" spans="2:7" ht="16.5" thickBot="1" x14ac:dyDescent="0.3">
      <c r="B73" s="184" t="s">
        <v>279</v>
      </c>
      <c r="C73" s="184"/>
      <c r="D73" s="106" t="s">
        <v>222</v>
      </c>
      <c r="E73" s="112" t="s">
        <v>223</v>
      </c>
    </row>
    <row r="74" spans="2:7" ht="38.25" customHeight="1" thickBot="1" x14ac:dyDescent="0.3">
      <c r="B74" s="185" t="s">
        <v>280</v>
      </c>
      <c r="C74" s="186"/>
      <c r="D74" s="123" t="s">
        <v>225</v>
      </c>
      <c r="E74" s="99">
        <v>0.2</v>
      </c>
      <c r="F74" s="5">
        <v>2</v>
      </c>
    </row>
    <row r="75" spans="2:7" ht="49.5" customHeight="1" thickBot="1" x14ac:dyDescent="0.3">
      <c r="B75" s="182" t="s">
        <v>281</v>
      </c>
      <c r="C75" s="183"/>
      <c r="D75" s="126" t="s">
        <v>231</v>
      </c>
      <c r="E75" s="127" t="s">
        <v>232</v>
      </c>
      <c r="F75" s="5">
        <v>-100</v>
      </c>
    </row>
    <row r="76" spans="2:7" ht="30" customHeight="1" x14ac:dyDescent="0.25">
      <c r="B76" s="110"/>
      <c r="C76" s="110"/>
      <c r="D76" s="105"/>
      <c r="E76" s="105"/>
      <c r="F76" s="5"/>
    </row>
    <row r="77" spans="2:7" ht="15" customHeight="1" x14ac:dyDescent="0.25">
      <c r="B77" s="187" t="s">
        <v>282</v>
      </c>
      <c r="C77" s="187"/>
      <c r="D77" s="187"/>
      <c r="E77" s="187"/>
    </row>
    <row r="78" spans="2:7" ht="15" customHeight="1" x14ac:dyDescent="0.25">
      <c r="B78" s="94"/>
      <c r="C78" s="94"/>
      <c r="D78" s="94"/>
      <c r="E78" s="94"/>
    </row>
    <row r="79" spans="2:7" ht="16.5" thickBot="1" x14ac:dyDescent="0.3">
      <c r="B79" s="184" t="s">
        <v>283</v>
      </c>
      <c r="C79" s="184"/>
      <c r="D79" s="106" t="s">
        <v>222</v>
      </c>
      <c r="E79" s="112" t="s">
        <v>223</v>
      </c>
    </row>
    <row r="80" spans="2:7" ht="39" customHeight="1" thickBot="1" x14ac:dyDescent="0.3">
      <c r="B80" s="192" t="s">
        <v>284</v>
      </c>
      <c r="C80" s="193"/>
      <c r="D80" s="123" t="s">
        <v>225</v>
      </c>
      <c r="E80" s="99">
        <v>1</v>
      </c>
      <c r="F80" s="5">
        <v>10</v>
      </c>
    </row>
    <row r="81" spans="2:6" ht="50.25" customHeight="1" thickBot="1" x14ac:dyDescent="0.3">
      <c r="B81" s="177" t="s">
        <v>285</v>
      </c>
      <c r="C81" s="178"/>
      <c r="D81" s="124" t="s">
        <v>227</v>
      </c>
      <c r="E81" s="100">
        <v>0.5</v>
      </c>
      <c r="F81" s="5">
        <v>5</v>
      </c>
    </row>
    <row r="82" spans="2:6" ht="33.75" customHeight="1" thickBot="1" x14ac:dyDescent="0.3">
      <c r="B82" s="179" t="s">
        <v>286</v>
      </c>
      <c r="C82" s="180"/>
      <c r="D82" s="125" t="s">
        <v>229</v>
      </c>
      <c r="E82" s="101">
        <v>0</v>
      </c>
      <c r="F82" s="5">
        <v>0</v>
      </c>
    </row>
    <row r="83" spans="2:6" ht="15.75" customHeight="1" x14ac:dyDescent="0.25">
      <c r="D83" s="5"/>
      <c r="E83" s="5"/>
      <c r="F83" s="5"/>
    </row>
    <row r="84" spans="2:6" ht="16.5" thickBot="1" x14ac:dyDescent="0.3">
      <c r="B84" s="184" t="s">
        <v>205</v>
      </c>
      <c r="C84" s="184"/>
      <c r="D84" s="106" t="s">
        <v>222</v>
      </c>
      <c r="E84" s="112" t="s">
        <v>223</v>
      </c>
      <c r="F84" s="5"/>
    </row>
    <row r="85" spans="2:6" ht="76.5" customHeight="1" thickBot="1" x14ac:dyDescent="0.3">
      <c r="B85" s="194" t="s">
        <v>287</v>
      </c>
      <c r="C85" s="195"/>
      <c r="D85" s="123" t="s">
        <v>225</v>
      </c>
      <c r="E85" s="99">
        <v>1</v>
      </c>
      <c r="F85" s="5">
        <v>10</v>
      </c>
    </row>
    <row r="86" spans="2:6" ht="50.25" customHeight="1" thickBot="1" x14ac:dyDescent="0.3">
      <c r="B86" s="177" t="s">
        <v>288</v>
      </c>
      <c r="C86" s="178"/>
      <c r="D86" s="124" t="s">
        <v>227</v>
      </c>
      <c r="E86" s="100">
        <v>0.5</v>
      </c>
      <c r="F86" s="5">
        <v>5</v>
      </c>
    </row>
    <row r="87" spans="2:6" ht="49.5" customHeight="1" thickBot="1" x14ac:dyDescent="0.3">
      <c r="B87" s="179" t="s">
        <v>289</v>
      </c>
      <c r="C87" s="180"/>
      <c r="D87" s="125" t="s">
        <v>229</v>
      </c>
      <c r="E87" s="101">
        <v>0</v>
      </c>
      <c r="F87" s="5">
        <v>0</v>
      </c>
    </row>
    <row r="88" spans="2:6" x14ac:dyDescent="0.25">
      <c r="D88" s="5"/>
      <c r="E88" s="5"/>
    </row>
    <row r="89" spans="2:6" ht="15.75" customHeight="1" thickBot="1" x14ac:dyDescent="0.3">
      <c r="B89" s="196" t="s">
        <v>290</v>
      </c>
      <c r="C89" s="196"/>
      <c r="D89" s="5"/>
      <c r="E89" s="5"/>
    </row>
    <row r="91" spans="2:6" ht="15" customHeight="1" thickBot="1" x14ac:dyDescent="0.3">
      <c r="B91" s="221" t="s">
        <v>291</v>
      </c>
      <c r="C91" s="222"/>
    </row>
    <row r="92" spans="2:6" ht="17.25" x14ac:dyDescent="0.3">
      <c r="B92" s="111"/>
      <c r="C92" s="111"/>
    </row>
    <row r="93" spans="2:6" ht="42.75" customHeight="1" x14ac:dyDescent="0.25">
      <c r="B93" s="191" t="s">
        <v>292</v>
      </c>
      <c r="C93" s="183"/>
    </row>
    <row r="94" spans="2:6" ht="17.25" x14ac:dyDescent="0.3">
      <c r="B94" s="111"/>
      <c r="C94" s="111"/>
    </row>
    <row r="95" spans="2:6" ht="17.25" customHeight="1" thickBot="1" x14ac:dyDescent="0.3">
      <c r="B95" s="221" t="s">
        <v>293</v>
      </c>
      <c r="C95" s="222"/>
    </row>
    <row r="96" spans="2:6" ht="17.25" x14ac:dyDescent="0.3">
      <c r="B96" s="111"/>
      <c r="C96" s="111"/>
    </row>
    <row r="97" spans="2:3" ht="33.75" customHeight="1" x14ac:dyDescent="0.25">
      <c r="B97" s="182" t="s">
        <v>294</v>
      </c>
      <c r="C97" s="183"/>
    </row>
    <row r="98" spans="2:3" ht="17.25" x14ac:dyDescent="0.3">
      <c r="B98" s="111"/>
      <c r="C98" s="111"/>
    </row>
    <row r="99" spans="2:3" ht="40.5" customHeight="1" x14ac:dyDescent="0.25">
      <c r="B99" s="182" t="s">
        <v>295</v>
      </c>
      <c r="C99" s="183"/>
    </row>
    <row r="100" spans="2:3" ht="17.25" x14ac:dyDescent="0.3">
      <c r="B100" s="111"/>
      <c r="C100" s="111"/>
    </row>
    <row r="101" spans="2:3" x14ac:dyDescent="0.25">
      <c r="B101" s="191" t="s">
        <v>296</v>
      </c>
      <c r="C101" s="183"/>
    </row>
    <row r="102" spans="2:3" ht="17.25" x14ac:dyDescent="0.3">
      <c r="B102" s="111"/>
      <c r="C102" s="111"/>
    </row>
    <row r="103" spans="2:3" ht="17.25" x14ac:dyDescent="0.25">
      <c r="B103" s="191" t="s">
        <v>267</v>
      </c>
      <c r="C103" s="188"/>
    </row>
    <row r="104" spans="2:3" ht="17.25" x14ac:dyDescent="0.3">
      <c r="B104" s="111"/>
      <c r="C104" s="111"/>
    </row>
    <row r="105" spans="2:3" ht="38.25" customHeight="1" x14ac:dyDescent="0.25">
      <c r="B105" s="182" t="s">
        <v>297</v>
      </c>
      <c r="C105" s="183"/>
    </row>
    <row r="106" spans="2:3" ht="17.25" x14ac:dyDescent="0.3">
      <c r="B106" s="111"/>
      <c r="C106" s="111"/>
    </row>
    <row r="107" spans="2:3" ht="36" customHeight="1" x14ac:dyDescent="0.25">
      <c r="B107" s="182" t="s">
        <v>298</v>
      </c>
      <c r="C107" s="183"/>
    </row>
  </sheetData>
  <mergeCells count="74">
    <mergeCell ref="B105:C105"/>
    <mergeCell ref="B107:C107"/>
    <mergeCell ref="B93:C93"/>
    <mergeCell ref="B95:C95"/>
    <mergeCell ref="B97:C97"/>
    <mergeCell ref="B99:C99"/>
    <mergeCell ref="B101:C101"/>
    <mergeCell ref="B103:C103"/>
    <mergeCell ref="B91:C91"/>
    <mergeCell ref="B75:C75"/>
    <mergeCell ref="B77:E77"/>
    <mergeCell ref="B79:C79"/>
    <mergeCell ref="B80:C80"/>
    <mergeCell ref="B81:C81"/>
    <mergeCell ref="B82:C82"/>
    <mergeCell ref="B84:C84"/>
    <mergeCell ref="B85:C85"/>
    <mergeCell ref="B86:C86"/>
    <mergeCell ref="B87:C87"/>
    <mergeCell ref="B89:C89"/>
    <mergeCell ref="B74:C74"/>
    <mergeCell ref="B62:C62"/>
    <mergeCell ref="B64:C64"/>
    <mergeCell ref="B65:C65"/>
    <mergeCell ref="B66:C66"/>
    <mergeCell ref="B67:C67"/>
    <mergeCell ref="B69:C69"/>
    <mergeCell ref="B70:C70"/>
    <mergeCell ref="B71:C71"/>
    <mergeCell ref="B73:C73"/>
    <mergeCell ref="B61:C61"/>
    <mergeCell ref="B49:C49"/>
    <mergeCell ref="B50:C50"/>
    <mergeCell ref="B52:C52"/>
    <mergeCell ref="B53:C53"/>
    <mergeCell ref="B54:C54"/>
    <mergeCell ref="B55:C55"/>
    <mergeCell ref="B56:C56"/>
    <mergeCell ref="B58:E58"/>
    <mergeCell ref="B60:C60"/>
    <mergeCell ref="B48:C48"/>
    <mergeCell ref="B35:C35"/>
    <mergeCell ref="B36:C36"/>
    <mergeCell ref="B37:C37"/>
    <mergeCell ref="B38:C38"/>
    <mergeCell ref="B40:C40"/>
    <mergeCell ref="B41:C41"/>
    <mergeCell ref="B42:C42"/>
    <mergeCell ref="B44:E44"/>
    <mergeCell ref="B46:C46"/>
    <mergeCell ref="B47:C47"/>
    <mergeCell ref="B33:C33"/>
    <mergeCell ref="B21:C21"/>
    <mergeCell ref="B22:C22"/>
    <mergeCell ref="B23:C23"/>
    <mergeCell ref="B25:C25"/>
    <mergeCell ref="B26:C26"/>
    <mergeCell ref="B27:C27"/>
    <mergeCell ref="B28:C28"/>
    <mergeCell ref="B30:C30"/>
    <mergeCell ref="B31:C31"/>
    <mergeCell ref="B32:C32"/>
    <mergeCell ref="B20:C20"/>
    <mergeCell ref="B4:E4"/>
    <mergeCell ref="B6:E6"/>
    <mergeCell ref="B9:C9"/>
    <mergeCell ref="B10:C10"/>
    <mergeCell ref="B11:C11"/>
    <mergeCell ref="B12:C12"/>
    <mergeCell ref="B14:C14"/>
    <mergeCell ref="B15:C15"/>
    <mergeCell ref="B16:C16"/>
    <mergeCell ref="B17:C17"/>
    <mergeCell ref="B19:C1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8FCA-61F4-412E-8E43-CF73F3CCB739}">
  <dimension ref="B2:G108"/>
  <sheetViews>
    <sheetView topLeftCell="A42" zoomScale="85" zoomScaleNormal="85" workbookViewId="0">
      <selection activeCell="B32" sqref="B32:C32"/>
    </sheetView>
  </sheetViews>
  <sheetFormatPr defaultColWidth="11.42578125" defaultRowHeight="15" x14ac:dyDescent="0.25"/>
  <cols>
    <col min="3" max="3" width="98.140625" customWidth="1"/>
    <col min="4" max="4" width="18.42578125" customWidth="1"/>
    <col min="5" max="5" width="16.85546875" customWidth="1"/>
    <col min="6" max="6" width="11.42578125" customWidth="1"/>
    <col min="7" max="7" width="11.42578125" hidden="1" customWidth="1"/>
  </cols>
  <sheetData>
    <row r="2" spans="2:7" ht="23.25" x14ac:dyDescent="0.35">
      <c r="C2" s="93" t="s">
        <v>366</v>
      </c>
    </row>
    <row r="4" spans="2:7" x14ac:dyDescent="0.25">
      <c r="B4" s="215" t="s">
        <v>365</v>
      </c>
      <c r="C4" s="215"/>
      <c r="D4" s="215"/>
      <c r="E4" s="215"/>
    </row>
    <row r="6" spans="2:7" x14ac:dyDescent="0.25">
      <c r="B6" s="187" t="s">
        <v>364</v>
      </c>
      <c r="C6" s="187"/>
      <c r="D6" s="187"/>
      <c r="E6" s="187"/>
    </row>
    <row r="7" spans="2:7" x14ac:dyDescent="0.25">
      <c r="B7" s="94"/>
      <c r="C7" s="94"/>
      <c r="D7" s="94"/>
      <c r="E7" s="94"/>
    </row>
    <row r="8" spans="2:7" ht="30.75" customHeight="1" thickBot="1" x14ac:dyDescent="0.3">
      <c r="B8" s="95" t="s">
        <v>303</v>
      </c>
      <c r="C8" s="128"/>
      <c r="D8" s="97" t="s">
        <v>326</v>
      </c>
      <c r="E8" s="98" t="s">
        <v>363</v>
      </c>
      <c r="F8" s="112" t="s">
        <v>362</v>
      </c>
      <c r="G8" s="113" t="s">
        <v>195</v>
      </c>
    </row>
    <row r="9" spans="2:7" ht="42.75" customHeight="1" thickBot="1" x14ac:dyDescent="0.3">
      <c r="B9" s="216" t="s">
        <v>368</v>
      </c>
      <c r="C9" s="217"/>
      <c r="D9" s="99" t="s">
        <v>324</v>
      </c>
      <c r="E9" s="99">
        <v>0.5</v>
      </c>
      <c r="F9" s="5">
        <v>5</v>
      </c>
    </row>
    <row r="10" spans="2:7" ht="52.5" customHeight="1" thickBot="1" x14ac:dyDescent="0.3">
      <c r="B10" s="218" t="s">
        <v>361</v>
      </c>
      <c r="C10" s="219"/>
      <c r="D10" s="100" t="s">
        <v>323</v>
      </c>
      <c r="E10" s="100">
        <v>0.2</v>
      </c>
      <c r="F10" s="5">
        <v>2</v>
      </c>
    </row>
    <row r="11" spans="2:7" ht="18" thickBot="1" x14ac:dyDescent="0.3">
      <c r="B11" s="201" t="s">
        <v>360</v>
      </c>
      <c r="C11" s="202"/>
      <c r="D11" s="101" t="s">
        <v>322</v>
      </c>
      <c r="E11" s="101">
        <v>0</v>
      </c>
      <c r="F11" s="114">
        <v>0</v>
      </c>
    </row>
    <row r="12" spans="2:7" ht="19.5" customHeight="1" thickBot="1" x14ac:dyDescent="0.3">
      <c r="B12" s="197" t="s">
        <v>359</v>
      </c>
      <c r="C12" s="198"/>
      <c r="D12" s="102" t="s">
        <v>138</v>
      </c>
      <c r="E12" s="102" t="s">
        <v>331</v>
      </c>
      <c r="F12" s="114">
        <v>-100</v>
      </c>
    </row>
    <row r="13" spans="2:7" ht="16.5" x14ac:dyDescent="0.3">
      <c r="B13" s="103"/>
      <c r="C13" s="104"/>
      <c r="D13" s="105"/>
      <c r="E13" s="105"/>
    </row>
    <row r="14" spans="2:7" ht="16.5" thickBot="1" x14ac:dyDescent="0.3">
      <c r="B14" s="184" t="s">
        <v>304</v>
      </c>
      <c r="C14" s="184"/>
      <c r="D14" s="106" t="s">
        <v>326</v>
      </c>
      <c r="E14" s="106" t="s">
        <v>325</v>
      </c>
    </row>
    <row r="15" spans="2:7" ht="102.75" customHeight="1" thickBot="1" x14ac:dyDescent="0.3">
      <c r="B15" s="190" t="s">
        <v>388</v>
      </c>
      <c r="C15" s="186"/>
      <c r="D15" s="99" t="s">
        <v>324</v>
      </c>
      <c r="E15" s="99">
        <v>1</v>
      </c>
      <c r="F15" s="114">
        <v>10</v>
      </c>
    </row>
    <row r="16" spans="2:7" ht="108.75" customHeight="1" thickBot="1" x14ac:dyDescent="0.3">
      <c r="B16" s="181" t="s">
        <v>389</v>
      </c>
      <c r="C16" s="178"/>
      <c r="D16" s="100" t="s">
        <v>323</v>
      </c>
      <c r="E16" s="100">
        <v>0.5</v>
      </c>
      <c r="F16" s="5">
        <v>5</v>
      </c>
    </row>
    <row r="17" spans="2:6" ht="54.75" customHeight="1" thickBot="1" x14ac:dyDescent="0.3">
      <c r="B17" s="228" t="s">
        <v>390</v>
      </c>
      <c r="C17" s="229"/>
      <c r="D17" s="102" t="s">
        <v>138</v>
      </c>
      <c r="E17" s="102" t="s">
        <v>331</v>
      </c>
      <c r="F17" s="114">
        <v>-100</v>
      </c>
    </row>
    <row r="19" spans="2:6" ht="16.5" thickBot="1" x14ac:dyDescent="0.3">
      <c r="B19" s="184" t="s">
        <v>358</v>
      </c>
      <c r="C19" s="184"/>
      <c r="D19" s="106" t="s">
        <v>326</v>
      </c>
      <c r="E19" s="106" t="s">
        <v>325</v>
      </c>
    </row>
    <row r="20" spans="2:6" ht="54.75" customHeight="1" thickBot="1" x14ac:dyDescent="0.3">
      <c r="B20" s="207" t="s">
        <v>357</v>
      </c>
      <c r="C20" s="208"/>
      <c r="D20" s="99" t="s">
        <v>324</v>
      </c>
      <c r="E20" s="99">
        <v>0.5</v>
      </c>
      <c r="F20" s="114">
        <v>5</v>
      </c>
    </row>
    <row r="21" spans="2:6" ht="57" customHeight="1" thickBot="1" x14ac:dyDescent="0.3">
      <c r="B21" s="209" t="s">
        <v>356</v>
      </c>
      <c r="C21" s="210"/>
      <c r="D21" s="100" t="s">
        <v>323</v>
      </c>
      <c r="E21" s="100">
        <v>0.2</v>
      </c>
      <c r="F21" s="5">
        <v>2</v>
      </c>
    </row>
    <row r="22" spans="2:6" ht="48.75" customHeight="1" thickBot="1" x14ac:dyDescent="0.3">
      <c r="B22" s="211" t="s">
        <v>355</v>
      </c>
      <c r="C22" s="212"/>
      <c r="D22" s="101" t="s">
        <v>322</v>
      </c>
      <c r="E22" s="101">
        <v>0</v>
      </c>
      <c r="F22" s="5">
        <v>0</v>
      </c>
    </row>
    <row r="23" spans="2:6" ht="51.75" customHeight="1" thickBot="1" x14ac:dyDescent="0.3">
      <c r="B23" s="182" t="s">
        <v>391</v>
      </c>
      <c r="C23" s="188"/>
      <c r="D23" s="107" t="s">
        <v>138</v>
      </c>
      <c r="E23" s="129" t="s">
        <v>331</v>
      </c>
      <c r="F23" s="114">
        <v>-100</v>
      </c>
    </row>
    <row r="25" spans="2:6" ht="16.5" thickBot="1" x14ac:dyDescent="0.3">
      <c r="B25" s="213" t="s">
        <v>354</v>
      </c>
      <c r="C25" s="213"/>
      <c r="D25" s="106" t="s">
        <v>326</v>
      </c>
      <c r="E25" s="106" t="s">
        <v>325</v>
      </c>
    </row>
    <row r="26" spans="2:6" ht="17.25" customHeight="1" thickBot="1" x14ac:dyDescent="0.3">
      <c r="B26" s="230" t="s">
        <v>334</v>
      </c>
      <c r="C26" s="231"/>
      <c r="D26" s="108" t="s">
        <v>147</v>
      </c>
      <c r="E26" s="108" t="s">
        <v>147</v>
      </c>
    </row>
    <row r="27" spans="2:6" ht="75" customHeight="1" thickBot="1" x14ac:dyDescent="0.3">
      <c r="B27" s="204" t="s">
        <v>392</v>
      </c>
      <c r="C27" s="205"/>
      <c r="D27" s="99" t="s">
        <v>353</v>
      </c>
      <c r="E27" s="99">
        <v>0.3</v>
      </c>
      <c r="F27" s="5">
        <v>5</v>
      </c>
    </row>
    <row r="28" spans="2:6" ht="40.5" customHeight="1" thickBot="1" x14ac:dyDescent="0.3">
      <c r="B28" s="201" t="s">
        <v>393</v>
      </c>
      <c r="C28" s="202"/>
      <c r="D28" s="101" t="s">
        <v>352</v>
      </c>
      <c r="E28" s="101">
        <v>0</v>
      </c>
      <c r="F28" s="5">
        <v>0</v>
      </c>
    </row>
    <row r="29" spans="2:6" ht="60.75" customHeight="1" thickBot="1" x14ac:dyDescent="0.3">
      <c r="B29" s="182" t="s">
        <v>394</v>
      </c>
      <c r="C29" s="183"/>
      <c r="D29" s="102" t="s">
        <v>138</v>
      </c>
      <c r="E29" s="102" t="s">
        <v>331</v>
      </c>
      <c r="F29" s="5">
        <v>-100</v>
      </c>
    </row>
    <row r="31" spans="2:6" ht="15.75" customHeight="1" thickBot="1" x14ac:dyDescent="0.3">
      <c r="B31" s="184" t="s">
        <v>351</v>
      </c>
      <c r="C31" s="184"/>
      <c r="D31" s="106" t="s">
        <v>326</v>
      </c>
      <c r="E31" s="106" t="s">
        <v>325</v>
      </c>
    </row>
    <row r="32" spans="2:6" ht="81" customHeight="1" thickBot="1" x14ac:dyDescent="0.3">
      <c r="B32" s="226" t="s">
        <v>404</v>
      </c>
      <c r="C32" s="186"/>
      <c r="D32" s="99" t="s">
        <v>346</v>
      </c>
      <c r="E32" s="99">
        <v>0.5</v>
      </c>
      <c r="F32" s="5">
        <v>5</v>
      </c>
    </row>
    <row r="33" spans="2:6" ht="50.25" customHeight="1" thickBot="1" x14ac:dyDescent="0.3">
      <c r="B33" s="209" t="s">
        <v>350</v>
      </c>
      <c r="C33" s="178"/>
      <c r="D33" s="100" t="s">
        <v>323</v>
      </c>
      <c r="E33" s="100">
        <v>0.2</v>
      </c>
      <c r="F33" s="5">
        <v>2</v>
      </c>
    </row>
    <row r="34" spans="2:6" ht="33.75" customHeight="1" thickBot="1" x14ac:dyDescent="0.3">
      <c r="B34" s="211" t="s">
        <v>349</v>
      </c>
      <c r="C34" s="180"/>
      <c r="D34" s="101" t="s">
        <v>348</v>
      </c>
      <c r="E34" s="101">
        <v>0</v>
      </c>
      <c r="F34" s="5">
        <v>0</v>
      </c>
    </row>
    <row r="36" spans="2:6" ht="16.5" thickBot="1" x14ac:dyDescent="0.3">
      <c r="B36" s="184" t="s">
        <v>308</v>
      </c>
      <c r="C36" s="184"/>
      <c r="D36" s="106" t="s">
        <v>326</v>
      </c>
      <c r="E36" s="106" t="s">
        <v>325</v>
      </c>
    </row>
    <row r="37" spans="2:6" ht="63" customHeight="1" thickBot="1" x14ac:dyDescent="0.3">
      <c r="B37" s="227" t="s">
        <v>347</v>
      </c>
      <c r="C37" s="200"/>
      <c r="D37" s="99" t="s">
        <v>346</v>
      </c>
      <c r="E37" s="99">
        <v>0.5</v>
      </c>
      <c r="F37" s="114">
        <v>5</v>
      </c>
    </row>
    <row r="38" spans="2:6" ht="33.75" customHeight="1" thickBot="1" x14ac:dyDescent="0.3">
      <c r="B38" s="179" t="s">
        <v>345</v>
      </c>
      <c r="C38" s="180"/>
      <c r="D38" s="101" t="s">
        <v>322</v>
      </c>
      <c r="E38" s="101">
        <v>0</v>
      </c>
      <c r="F38" s="114">
        <v>0</v>
      </c>
    </row>
    <row r="39" spans="2:6" ht="31.5" customHeight="1" thickBot="1" x14ac:dyDescent="0.3">
      <c r="B39" s="182" t="s">
        <v>395</v>
      </c>
      <c r="C39" s="183"/>
      <c r="D39" s="102" t="s">
        <v>138</v>
      </c>
      <c r="E39" s="102" t="s">
        <v>331</v>
      </c>
      <c r="F39" s="5">
        <v>-100</v>
      </c>
    </row>
    <row r="41" spans="2:6" ht="16.5" thickBot="1" x14ac:dyDescent="0.3">
      <c r="B41" s="203" t="s">
        <v>309</v>
      </c>
      <c r="C41" s="203"/>
      <c r="D41" s="106" t="s">
        <v>326</v>
      </c>
      <c r="E41" s="106" t="s">
        <v>325</v>
      </c>
    </row>
    <row r="42" spans="2:6" ht="73.5" customHeight="1" thickBot="1" x14ac:dyDescent="0.3">
      <c r="B42" s="185" t="s">
        <v>396</v>
      </c>
      <c r="C42" s="186"/>
      <c r="D42" s="99" t="s">
        <v>324</v>
      </c>
      <c r="E42" s="99">
        <v>0.5</v>
      </c>
      <c r="F42" s="5">
        <v>5</v>
      </c>
    </row>
    <row r="43" spans="2:6" ht="40.5" customHeight="1" thickBot="1" x14ac:dyDescent="0.3">
      <c r="B43" s="179" t="s">
        <v>397</v>
      </c>
      <c r="C43" s="180"/>
      <c r="D43" s="101" t="s">
        <v>322</v>
      </c>
      <c r="E43" s="101">
        <v>0</v>
      </c>
      <c r="F43" s="5">
        <v>0</v>
      </c>
    </row>
    <row r="45" spans="2:6" x14ac:dyDescent="0.25">
      <c r="B45" s="187" t="s">
        <v>344</v>
      </c>
      <c r="C45" s="187"/>
      <c r="D45" s="187"/>
      <c r="E45" s="187"/>
    </row>
    <row r="46" spans="2:6" x14ac:dyDescent="0.25">
      <c r="B46" s="94"/>
      <c r="C46" s="94"/>
      <c r="D46" s="94"/>
      <c r="E46" s="94"/>
    </row>
    <row r="47" spans="2:6" ht="16.5" thickBot="1" x14ac:dyDescent="0.3">
      <c r="B47" s="184" t="s">
        <v>343</v>
      </c>
      <c r="C47" s="184"/>
      <c r="D47" s="106" t="s">
        <v>326</v>
      </c>
      <c r="E47" s="106" t="s">
        <v>325</v>
      </c>
    </row>
    <row r="48" spans="2:6" ht="74.25" customHeight="1" thickBot="1" x14ac:dyDescent="0.3">
      <c r="B48" s="199" t="s">
        <v>369</v>
      </c>
      <c r="C48" s="200"/>
      <c r="D48" s="99" t="s">
        <v>342</v>
      </c>
      <c r="E48" s="99">
        <v>1</v>
      </c>
      <c r="F48" s="114">
        <v>10</v>
      </c>
    </row>
    <row r="49" spans="2:6" ht="44.25" customHeight="1" thickBot="1" x14ac:dyDescent="0.3">
      <c r="B49" s="224" t="s">
        <v>341</v>
      </c>
      <c r="C49" s="178"/>
      <c r="D49" s="100" t="s">
        <v>323</v>
      </c>
      <c r="E49" s="100">
        <v>0.5</v>
      </c>
      <c r="F49" s="5">
        <v>5</v>
      </c>
    </row>
    <row r="50" spans="2:6" ht="33.75" customHeight="1" thickBot="1" x14ac:dyDescent="0.3">
      <c r="B50" s="223" t="s">
        <v>340</v>
      </c>
      <c r="C50" s="180"/>
      <c r="D50" s="101" t="s">
        <v>322</v>
      </c>
      <c r="E50" s="101">
        <v>0</v>
      </c>
      <c r="F50" s="5">
        <v>0</v>
      </c>
    </row>
    <row r="51" spans="2:6" ht="33.75" customHeight="1" thickBot="1" x14ac:dyDescent="0.3">
      <c r="B51" s="191" t="s">
        <v>319</v>
      </c>
      <c r="C51" s="183"/>
      <c r="D51" s="102" t="s">
        <v>138</v>
      </c>
      <c r="E51" s="102" t="s">
        <v>331</v>
      </c>
      <c r="F51" s="114">
        <v>-100</v>
      </c>
    </row>
    <row r="53" spans="2:6" ht="16.5" thickBot="1" x14ac:dyDescent="0.3">
      <c r="B53" s="184" t="s">
        <v>339</v>
      </c>
      <c r="C53" s="184"/>
      <c r="D53" s="106" t="s">
        <v>326</v>
      </c>
      <c r="E53" s="106" t="s">
        <v>325</v>
      </c>
    </row>
    <row r="54" spans="2:6" ht="44.25" customHeight="1" thickBot="1" x14ac:dyDescent="0.3">
      <c r="B54" s="225" t="s">
        <v>370</v>
      </c>
      <c r="C54" s="200"/>
      <c r="D54" s="99" t="s">
        <v>324</v>
      </c>
      <c r="E54" s="99">
        <v>1</v>
      </c>
      <c r="F54" s="114">
        <v>10</v>
      </c>
    </row>
    <row r="55" spans="2:6" ht="50.25" customHeight="1" thickBot="1" x14ac:dyDescent="0.3">
      <c r="B55" s="224" t="s">
        <v>371</v>
      </c>
      <c r="C55" s="178"/>
      <c r="D55" s="100" t="s">
        <v>323</v>
      </c>
      <c r="E55" s="100">
        <v>0.5</v>
      </c>
      <c r="F55" s="5">
        <v>5</v>
      </c>
    </row>
    <row r="56" spans="2:6" ht="33.75" customHeight="1" thickBot="1" x14ac:dyDescent="0.3">
      <c r="B56" s="223" t="s">
        <v>372</v>
      </c>
      <c r="C56" s="180"/>
      <c r="D56" s="101" t="s">
        <v>322</v>
      </c>
      <c r="E56" s="101">
        <v>0</v>
      </c>
      <c r="F56" s="5">
        <v>0</v>
      </c>
    </row>
    <row r="57" spans="2:6" ht="18" thickBot="1" x14ac:dyDescent="0.3">
      <c r="B57" s="191" t="s">
        <v>318</v>
      </c>
      <c r="C57" s="188"/>
      <c r="D57" s="102" t="s">
        <v>138</v>
      </c>
      <c r="E57" s="102" t="s">
        <v>331</v>
      </c>
      <c r="F57" s="114">
        <v>-100</v>
      </c>
    </row>
    <row r="59" spans="2:6" x14ac:dyDescent="0.25">
      <c r="B59" s="187" t="s">
        <v>338</v>
      </c>
      <c r="C59" s="187"/>
      <c r="D59" s="187"/>
      <c r="E59" s="187"/>
    </row>
    <row r="60" spans="2:6" x14ac:dyDescent="0.25">
      <c r="B60" s="94"/>
      <c r="C60" s="94"/>
      <c r="D60" s="94"/>
      <c r="E60" s="94"/>
    </row>
    <row r="61" spans="2:6" ht="16.5" thickBot="1" x14ac:dyDescent="0.3">
      <c r="B61" s="184" t="s">
        <v>373</v>
      </c>
      <c r="C61" s="184"/>
      <c r="D61" s="106" t="s">
        <v>326</v>
      </c>
      <c r="E61" s="106" t="s">
        <v>325</v>
      </c>
    </row>
    <row r="62" spans="2:6" ht="42.75" customHeight="1" thickBot="1" x14ac:dyDescent="0.3">
      <c r="B62" s="190" t="s">
        <v>398</v>
      </c>
      <c r="C62" s="186"/>
      <c r="D62" s="99" t="s">
        <v>324</v>
      </c>
      <c r="E62" s="99">
        <v>0.5</v>
      </c>
      <c r="F62" s="114">
        <v>5</v>
      </c>
    </row>
    <row r="63" spans="2:6" ht="33.75" customHeight="1" thickBot="1" x14ac:dyDescent="0.3">
      <c r="B63" s="189" t="s">
        <v>337</v>
      </c>
      <c r="C63" s="180"/>
      <c r="D63" s="101" t="s">
        <v>322</v>
      </c>
      <c r="E63" s="101">
        <v>0</v>
      </c>
      <c r="F63" s="114">
        <v>0</v>
      </c>
    </row>
    <row r="65" spans="2:7" ht="16.5" thickBot="1" x14ac:dyDescent="0.3">
      <c r="B65" s="184" t="s">
        <v>374</v>
      </c>
      <c r="C65" s="184"/>
      <c r="D65" s="106" t="s">
        <v>326</v>
      </c>
      <c r="E65" s="106" t="s">
        <v>325</v>
      </c>
    </row>
    <row r="66" spans="2:7" ht="38.25" customHeight="1" thickBot="1" x14ac:dyDescent="0.3">
      <c r="B66" s="190" t="s">
        <v>336</v>
      </c>
      <c r="C66" s="186"/>
      <c r="D66" s="99" t="s">
        <v>324</v>
      </c>
      <c r="E66" s="99">
        <v>1.2</v>
      </c>
      <c r="F66" s="5">
        <v>10</v>
      </c>
      <c r="G66">
        <v>1.2</v>
      </c>
    </row>
    <row r="67" spans="2:7" ht="38.25" customHeight="1" thickBot="1" x14ac:dyDescent="0.3">
      <c r="B67" s="181" t="s">
        <v>375</v>
      </c>
      <c r="C67" s="178"/>
      <c r="D67" s="100" t="s">
        <v>323</v>
      </c>
      <c r="E67" s="100">
        <v>0.6</v>
      </c>
      <c r="F67" s="5"/>
      <c r="G67">
        <v>0.6</v>
      </c>
    </row>
    <row r="68" spans="2:7" ht="40.5" customHeight="1" thickBot="1" x14ac:dyDescent="0.3">
      <c r="B68" s="189" t="s">
        <v>335</v>
      </c>
      <c r="C68" s="180"/>
      <c r="D68" s="101" t="s">
        <v>322</v>
      </c>
      <c r="E68" s="101">
        <v>0</v>
      </c>
      <c r="F68" s="5">
        <v>0</v>
      </c>
      <c r="G68">
        <v>0</v>
      </c>
    </row>
    <row r="70" spans="2:7" ht="16.5" thickBot="1" x14ac:dyDescent="0.3">
      <c r="B70" s="184" t="s">
        <v>382</v>
      </c>
      <c r="C70" s="184"/>
      <c r="D70" s="106" t="s">
        <v>326</v>
      </c>
      <c r="E70" s="106" t="s">
        <v>325</v>
      </c>
    </row>
    <row r="71" spans="2:7" ht="41.25" customHeight="1" thickBot="1" x14ac:dyDescent="0.3">
      <c r="B71" s="185" t="s">
        <v>376</v>
      </c>
      <c r="C71" s="186"/>
      <c r="D71" s="99" t="s">
        <v>324</v>
      </c>
      <c r="E71" s="99">
        <v>0.3</v>
      </c>
      <c r="F71" s="5">
        <v>3</v>
      </c>
    </row>
    <row r="72" spans="2:7" ht="39" customHeight="1" thickBot="1" x14ac:dyDescent="0.3">
      <c r="B72" s="179" t="s">
        <v>333</v>
      </c>
      <c r="C72" s="180"/>
      <c r="D72" s="101" t="s">
        <v>322</v>
      </c>
      <c r="E72" s="101">
        <v>0</v>
      </c>
      <c r="F72" s="5">
        <v>0</v>
      </c>
    </row>
    <row r="73" spans="2:7" x14ac:dyDescent="0.25">
      <c r="B73" s="109"/>
      <c r="C73" s="109"/>
      <c r="D73" s="109"/>
      <c r="E73" s="109"/>
    </row>
    <row r="74" spans="2:7" ht="16.5" thickBot="1" x14ac:dyDescent="0.3">
      <c r="B74" s="184" t="s">
        <v>313</v>
      </c>
      <c r="C74" s="184"/>
      <c r="D74" s="106" t="s">
        <v>326</v>
      </c>
      <c r="E74" s="106" t="s">
        <v>325</v>
      </c>
    </row>
    <row r="75" spans="2:7" ht="38.25" customHeight="1" thickBot="1" x14ac:dyDescent="0.3">
      <c r="B75" s="185" t="s">
        <v>332</v>
      </c>
      <c r="C75" s="186"/>
      <c r="D75" s="99" t="s">
        <v>324</v>
      </c>
      <c r="E75" s="99">
        <v>0.2</v>
      </c>
      <c r="F75" s="5">
        <v>2</v>
      </c>
    </row>
    <row r="76" spans="2:7" ht="49.5" customHeight="1" thickBot="1" x14ac:dyDescent="0.3">
      <c r="B76" s="182" t="s">
        <v>317</v>
      </c>
      <c r="C76" s="183"/>
      <c r="D76" s="102" t="s">
        <v>138</v>
      </c>
      <c r="E76" s="102" t="s">
        <v>331</v>
      </c>
      <c r="F76" s="5">
        <v>-100</v>
      </c>
    </row>
    <row r="77" spans="2:7" ht="30" customHeight="1" x14ac:dyDescent="0.25">
      <c r="B77" s="110"/>
      <c r="C77" s="110"/>
      <c r="D77" s="105"/>
      <c r="E77" s="105"/>
      <c r="F77" s="5"/>
    </row>
    <row r="78" spans="2:7" ht="15" customHeight="1" x14ac:dyDescent="0.25">
      <c r="B78" s="187" t="s">
        <v>330</v>
      </c>
      <c r="C78" s="187"/>
      <c r="D78" s="187"/>
      <c r="E78" s="187"/>
    </row>
    <row r="79" spans="2:7" ht="15" customHeight="1" x14ac:dyDescent="0.25">
      <c r="B79" s="94"/>
      <c r="C79" s="94"/>
      <c r="D79" s="94"/>
      <c r="E79" s="94"/>
    </row>
    <row r="80" spans="2:7" ht="16.5" thickBot="1" x14ac:dyDescent="0.3">
      <c r="B80" s="184" t="s">
        <v>329</v>
      </c>
      <c r="C80" s="184"/>
      <c r="D80" s="106" t="s">
        <v>326</v>
      </c>
      <c r="E80" s="106" t="s">
        <v>325</v>
      </c>
    </row>
    <row r="81" spans="2:6" ht="39" customHeight="1" thickBot="1" x14ac:dyDescent="0.3">
      <c r="B81" s="192" t="s">
        <v>377</v>
      </c>
      <c r="C81" s="193"/>
      <c r="D81" s="99" t="s">
        <v>324</v>
      </c>
      <c r="E81" s="99">
        <v>1</v>
      </c>
      <c r="F81" s="5">
        <v>10</v>
      </c>
    </row>
    <row r="82" spans="2:6" ht="50.25" customHeight="1" thickBot="1" x14ac:dyDescent="0.3">
      <c r="B82" s="177" t="s">
        <v>328</v>
      </c>
      <c r="C82" s="178"/>
      <c r="D82" s="100" t="s">
        <v>323</v>
      </c>
      <c r="E82" s="100">
        <v>0.5</v>
      </c>
      <c r="F82" s="5">
        <v>5</v>
      </c>
    </row>
    <row r="83" spans="2:6" ht="33.75" customHeight="1" thickBot="1" x14ac:dyDescent="0.3">
      <c r="B83" s="179" t="s">
        <v>327</v>
      </c>
      <c r="C83" s="180"/>
      <c r="D83" s="101" t="s">
        <v>322</v>
      </c>
      <c r="E83" s="101">
        <v>0</v>
      </c>
      <c r="F83" s="5">
        <v>0</v>
      </c>
    </row>
    <row r="84" spans="2:6" ht="15.75" customHeight="1" x14ac:dyDescent="0.25">
      <c r="D84" s="5"/>
      <c r="E84" s="5"/>
      <c r="F84" s="5"/>
    </row>
    <row r="85" spans="2:6" ht="16.5" thickBot="1" x14ac:dyDescent="0.3">
      <c r="B85" s="184" t="s">
        <v>301</v>
      </c>
      <c r="C85" s="184"/>
      <c r="D85" s="106" t="s">
        <v>326</v>
      </c>
      <c r="E85" s="106" t="s">
        <v>325</v>
      </c>
      <c r="F85" s="5"/>
    </row>
    <row r="86" spans="2:6" ht="76.5" customHeight="1" thickBot="1" x14ac:dyDescent="0.3">
      <c r="B86" s="194" t="s">
        <v>378</v>
      </c>
      <c r="C86" s="195"/>
      <c r="D86" s="99" t="s">
        <v>324</v>
      </c>
      <c r="E86" s="99">
        <v>1</v>
      </c>
      <c r="F86" s="5">
        <v>10</v>
      </c>
    </row>
    <row r="87" spans="2:6" ht="50.25" customHeight="1" thickBot="1" x14ac:dyDescent="0.3">
      <c r="B87" s="209" t="s">
        <v>379</v>
      </c>
      <c r="C87" s="178"/>
      <c r="D87" s="100" t="s">
        <v>323</v>
      </c>
      <c r="E87" s="100">
        <v>0.5</v>
      </c>
      <c r="F87" s="5">
        <v>5</v>
      </c>
    </row>
    <row r="88" spans="2:6" ht="49.5" customHeight="1" thickBot="1" x14ac:dyDescent="0.3">
      <c r="B88" s="211" t="s">
        <v>380</v>
      </c>
      <c r="C88" s="180"/>
      <c r="D88" s="101" t="s">
        <v>322</v>
      </c>
      <c r="E88" s="101">
        <v>0</v>
      </c>
      <c r="F88" s="5">
        <v>0</v>
      </c>
    </row>
    <row r="89" spans="2:6" x14ac:dyDescent="0.25">
      <c r="D89" s="5"/>
      <c r="E89" s="5"/>
    </row>
    <row r="90" spans="2:6" ht="15.75" thickBot="1" x14ac:dyDescent="0.3">
      <c r="B90" s="196" t="s">
        <v>321</v>
      </c>
      <c r="C90" s="196"/>
      <c r="D90" s="5"/>
      <c r="E90" s="5"/>
    </row>
    <row r="92" spans="2:6" ht="35.25" customHeight="1" x14ac:dyDescent="0.25">
      <c r="B92" s="197" t="s">
        <v>381</v>
      </c>
      <c r="C92" s="198"/>
    </row>
    <row r="93" spans="2:6" ht="17.25" x14ac:dyDescent="0.3">
      <c r="B93" s="111"/>
      <c r="C93" s="111"/>
    </row>
    <row r="94" spans="2:6" ht="42.75" customHeight="1" x14ac:dyDescent="0.25">
      <c r="B94" s="191" t="s">
        <v>320</v>
      </c>
      <c r="C94" s="183"/>
    </row>
    <row r="95" spans="2:6" ht="17.25" x14ac:dyDescent="0.3">
      <c r="B95" s="111"/>
      <c r="C95" s="111"/>
    </row>
    <row r="96" spans="2:6" ht="33.75" customHeight="1" x14ac:dyDescent="0.25">
      <c r="B96" s="182" t="s">
        <v>399</v>
      </c>
      <c r="C96" s="188"/>
    </row>
    <row r="97" spans="2:3" ht="17.25" x14ac:dyDescent="0.3">
      <c r="B97" s="111"/>
      <c r="C97" s="111"/>
    </row>
    <row r="98" spans="2:3" ht="49.5" customHeight="1" x14ac:dyDescent="0.25">
      <c r="B98" s="182" t="s">
        <v>400</v>
      </c>
      <c r="C98" s="183"/>
    </row>
    <row r="99" spans="2:3" ht="17.25" x14ac:dyDescent="0.3">
      <c r="B99" s="111"/>
      <c r="C99" s="111"/>
    </row>
    <row r="100" spans="2:3" ht="40.5" customHeight="1" x14ac:dyDescent="0.25">
      <c r="B100" s="182" t="s">
        <v>401</v>
      </c>
      <c r="C100" s="183"/>
    </row>
    <row r="101" spans="2:3" ht="17.25" x14ac:dyDescent="0.3">
      <c r="B101" s="111"/>
      <c r="C101" s="111"/>
    </row>
    <row r="102" spans="2:3" ht="31.5" customHeight="1" x14ac:dyDescent="0.25">
      <c r="B102" s="191" t="s">
        <v>319</v>
      </c>
      <c r="C102" s="183"/>
    </row>
    <row r="103" spans="2:3" ht="17.25" x14ac:dyDescent="0.3">
      <c r="B103" s="111"/>
      <c r="C103" s="111"/>
    </row>
    <row r="104" spans="2:3" ht="35.25" customHeight="1" x14ac:dyDescent="0.25">
      <c r="B104" s="191" t="s">
        <v>318</v>
      </c>
      <c r="C104" s="188"/>
    </row>
    <row r="105" spans="2:3" ht="17.25" x14ac:dyDescent="0.3">
      <c r="B105" s="111"/>
      <c r="C105" s="111"/>
    </row>
    <row r="106" spans="2:3" ht="38.25" customHeight="1" x14ac:dyDescent="0.25">
      <c r="B106" s="182" t="s">
        <v>317</v>
      </c>
      <c r="C106" s="183"/>
    </row>
    <row r="107" spans="2:3" ht="17.25" x14ac:dyDescent="0.3">
      <c r="B107" s="111"/>
      <c r="C107" s="111"/>
    </row>
    <row r="108" spans="2:3" ht="36" customHeight="1" x14ac:dyDescent="0.25">
      <c r="B108" s="182" t="s">
        <v>402</v>
      </c>
      <c r="C108" s="183"/>
    </row>
  </sheetData>
  <mergeCells count="75">
    <mergeCell ref="B12:C12"/>
    <mergeCell ref="B4:E4"/>
    <mergeCell ref="B6:E6"/>
    <mergeCell ref="B9:C9"/>
    <mergeCell ref="B10:C10"/>
    <mergeCell ref="B11:C11"/>
    <mergeCell ref="B27:C27"/>
    <mergeCell ref="B14:C14"/>
    <mergeCell ref="B15:C15"/>
    <mergeCell ref="B16:C16"/>
    <mergeCell ref="B17:C17"/>
    <mergeCell ref="B19:C19"/>
    <mergeCell ref="B20:C20"/>
    <mergeCell ref="B21:C21"/>
    <mergeCell ref="B22:C22"/>
    <mergeCell ref="B23:C23"/>
    <mergeCell ref="B25:C25"/>
    <mergeCell ref="B26:C26"/>
    <mergeCell ref="B42:C42"/>
    <mergeCell ref="B28:C28"/>
    <mergeCell ref="B29:C29"/>
    <mergeCell ref="B31:C31"/>
    <mergeCell ref="B32:C32"/>
    <mergeCell ref="B33:C33"/>
    <mergeCell ref="B34:C34"/>
    <mergeCell ref="B36:C36"/>
    <mergeCell ref="B37:C37"/>
    <mergeCell ref="B38:C38"/>
    <mergeCell ref="B39:C39"/>
    <mergeCell ref="B41:C41"/>
    <mergeCell ref="B49:C49"/>
    <mergeCell ref="B50:C50"/>
    <mergeCell ref="B51:C51"/>
    <mergeCell ref="B53:C53"/>
    <mergeCell ref="B54:C54"/>
    <mergeCell ref="B66:C66"/>
    <mergeCell ref="B68:C68"/>
    <mergeCell ref="B70:C70"/>
    <mergeCell ref="B67:C67"/>
    <mergeCell ref="B55:C55"/>
    <mergeCell ref="B43:C43"/>
    <mergeCell ref="B45:E45"/>
    <mergeCell ref="B47:C47"/>
    <mergeCell ref="B48:C48"/>
    <mergeCell ref="B78:E78"/>
    <mergeCell ref="B56:C56"/>
    <mergeCell ref="B57:C57"/>
    <mergeCell ref="B59:E59"/>
    <mergeCell ref="B61:C61"/>
    <mergeCell ref="B62:C62"/>
    <mergeCell ref="B63:C63"/>
    <mergeCell ref="B65:C65"/>
    <mergeCell ref="B71:C71"/>
    <mergeCell ref="B72:C72"/>
    <mergeCell ref="B74:C74"/>
    <mergeCell ref="B75:C75"/>
    <mergeCell ref="B76:C76"/>
    <mergeCell ref="B80:C80"/>
    <mergeCell ref="B81:C81"/>
    <mergeCell ref="B82:C82"/>
    <mergeCell ref="B83:C83"/>
    <mergeCell ref="B85:C85"/>
    <mergeCell ref="B106:C106"/>
    <mergeCell ref="B108:C108"/>
    <mergeCell ref="B98:C98"/>
    <mergeCell ref="B86:C86"/>
    <mergeCell ref="B87:C87"/>
    <mergeCell ref="B100:C100"/>
    <mergeCell ref="B102:C102"/>
    <mergeCell ref="B104:C104"/>
    <mergeCell ref="B88:C88"/>
    <mergeCell ref="B90:C90"/>
    <mergeCell ref="B92:C92"/>
    <mergeCell ref="B94:C94"/>
    <mergeCell ref="B96:C96"/>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C9C0C0-51A5-482F-9C81-E085DC46992A}">
  <sheetPr codeName="Sheet2"/>
  <dimension ref="A1"/>
  <sheetViews>
    <sheetView workbookViewId="0"/>
  </sheetViews>
  <sheetFormatPr defaultColWidth="9.140625"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Cde tél</vt:lpstr>
      <vt:lpstr>Référentiel</vt:lpstr>
      <vt:lpstr>Lexique et Notation</vt:lpstr>
      <vt:lpstr>Glossary and notation EN</vt:lpstr>
      <vt:lpstr>Glossar und Bewertung DE</vt:lpstr>
      <vt:lpstr>Sheet2</vt:lpstr>
      <vt:lpstr>CodeLang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KONAN, Fabrice</dc:creator>
  <cp:lastModifiedBy>SZIGETI, Sandrine</cp:lastModifiedBy>
  <cp:lastPrinted>2022-02-07T13:15:51Z</cp:lastPrinted>
  <dcterms:created xsi:type="dcterms:W3CDTF">2019-07-15T07:39:14Z</dcterms:created>
  <dcterms:modified xsi:type="dcterms:W3CDTF">2025-08-21T11:00:10Z</dcterms:modified>
</cp:coreProperties>
</file>